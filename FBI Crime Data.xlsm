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3.xml" ContentType="application/vnd.openxmlformats-officedocument.drawing+xml"/>
  <Override PartName="/xl/charts/chartEx1.xml" ContentType="application/vnd.ms-office.chartex+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hidePivotFieldList="1" defaultThemeVersion="166925"/>
  <mc:AlternateContent xmlns:mc="http://schemas.openxmlformats.org/markup-compatibility/2006">
    <mc:Choice Requires="x15">
      <x15ac:absPath xmlns:x15ac="http://schemas.microsoft.com/office/spreadsheetml/2010/11/ac" url="C:\Users\AndrewAn\Documents\Excel Projects\"/>
    </mc:Choice>
  </mc:AlternateContent>
  <xr:revisionPtr revIDLastSave="0" documentId="10_ncr:100000_{C089289C-3F5B-4809-A5F1-DCE9D2141590}" xr6:coauthVersionLast="31" xr6:coauthVersionMax="31" xr10:uidLastSave="{00000000-0000-0000-0000-000000000000}"/>
  <bookViews>
    <workbookView xWindow="0" yWindow="0" windowWidth="28800" windowHeight="12225" firstSheet="3" activeTab="6" xr2:uid="{077F9387-E73B-44BD-908D-6E928AF7D786}"/>
  </bookViews>
  <sheets>
    <sheet name="National Crime data" sheetId="2" r:id="rId1"/>
    <sheet name="NationPivot" sheetId="1" r:id="rId2"/>
    <sheet name="Percent Change Nationally" sheetId="4" r:id="rId3"/>
    <sheet name="Geographic Crime Data" sheetId="6" r:id="rId4"/>
    <sheet name="Geopivot" sheetId="7" r:id="rId5"/>
    <sheet name="Percent Change By Geo" sheetId="11" r:id="rId6"/>
    <sheet name="Hierarchy Chart" sheetId="13" r:id="rId7"/>
  </sheets>
  <definedNames>
    <definedName name="_xlchart.v1.0" hidden="1">'Hierarchy Chart'!$A$18:$B$27</definedName>
    <definedName name="_xlchart.v1.1" hidden="1">'Hierarchy Chart'!$C$16:$C$17</definedName>
    <definedName name="_xlchart.v1.2" hidden="1">'Hierarchy Chart'!$C$18:$C$27</definedName>
    <definedName name="_xlchart.v1.3" hidden="1">'Hierarchy Chart'!$A$18:$B$27</definedName>
    <definedName name="_xlchart.v1.4" hidden="1">'Hierarchy Chart'!$C$16:$C$17</definedName>
    <definedName name="_xlchart.v1.5" hidden="1">'Hierarchy Chart'!$C$18:$C$27</definedName>
    <definedName name="ExternalData_1" localSheetId="3" hidden="1">'Geographic Crime Data'!$A$1:$O$105</definedName>
    <definedName name="ExternalData_1" localSheetId="0" hidden="1">'National Crime data'!$A$1:$V$21</definedName>
    <definedName name="Murder">Crime[Murder and nonnegligent  manslaughter]</definedName>
    <definedName name="Populatin">Crime[Population1]</definedName>
    <definedName name="Population">Crime[Population1]</definedName>
    <definedName name="Slicer_Region">#N/A</definedName>
    <definedName name="Slicer_States">#N/A</definedName>
    <definedName name="Slicer_Year">#N/A</definedName>
    <definedName name="Year">Crime[Year]</definedName>
  </definedNames>
  <calcPr calcId="179017"/>
  <pivotCaches>
    <pivotCache cacheId="12" r:id="rId8"/>
    <pivotCache cacheId="9"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13" l="1"/>
  <c r="C20" i="13"/>
  <c r="C21" i="13"/>
  <c r="C22" i="13"/>
  <c r="C23" i="13"/>
  <c r="C24" i="13"/>
  <c r="C25" i="13"/>
  <c r="C26" i="13"/>
  <c r="C27" i="13"/>
  <c r="C18" i="13"/>
  <c r="C88" i="4"/>
  <c r="D88" i="4"/>
  <c r="E88" i="4"/>
  <c r="F88" i="4"/>
  <c r="G88" i="4"/>
  <c r="H88" i="4"/>
  <c r="I88" i="4"/>
  <c r="J88" i="4"/>
  <c r="K88" i="4"/>
  <c r="L88" i="4"/>
  <c r="M88" i="4"/>
  <c r="N88" i="4"/>
  <c r="O88" i="4"/>
  <c r="P88" i="4"/>
  <c r="Q88" i="4"/>
  <c r="R88" i="4"/>
  <c r="S88" i="4"/>
  <c r="T88" i="4"/>
  <c r="C89" i="4"/>
  <c r="D89" i="4"/>
  <c r="E89" i="4"/>
  <c r="F89" i="4"/>
  <c r="G89" i="4"/>
  <c r="H89" i="4"/>
  <c r="I89" i="4"/>
  <c r="J89" i="4"/>
  <c r="K89" i="4"/>
  <c r="L89" i="4"/>
  <c r="M89" i="4"/>
  <c r="N89" i="4"/>
  <c r="O89" i="4"/>
  <c r="P89" i="4"/>
  <c r="Q89" i="4"/>
  <c r="R89" i="4"/>
  <c r="S89" i="4"/>
  <c r="T89" i="4"/>
  <c r="B89" i="4"/>
  <c r="B88" i="4"/>
  <c r="C84" i="4"/>
  <c r="B84" i="4"/>
  <c r="U85" i="4"/>
  <c r="T85" i="4"/>
  <c r="S85" i="4"/>
  <c r="R85" i="4"/>
  <c r="Q85" i="4"/>
  <c r="P85" i="4"/>
  <c r="O85" i="4"/>
  <c r="N85" i="4"/>
  <c r="M85" i="4"/>
  <c r="L85" i="4"/>
  <c r="K85" i="4"/>
  <c r="J85" i="4"/>
  <c r="I85" i="4"/>
  <c r="H85" i="4"/>
  <c r="G85" i="4"/>
  <c r="F85" i="4"/>
  <c r="E85" i="4"/>
  <c r="D85" i="4"/>
  <c r="C85" i="4"/>
  <c r="B85" i="4"/>
  <c r="U84" i="4"/>
  <c r="T84" i="4"/>
  <c r="S84" i="4"/>
  <c r="R84" i="4"/>
  <c r="Q84" i="4"/>
  <c r="P84" i="4"/>
  <c r="O84" i="4"/>
  <c r="N84" i="4"/>
  <c r="M84" i="4"/>
  <c r="L84" i="4"/>
  <c r="K84" i="4"/>
  <c r="J84" i="4"/>
  <c r="I84" i="4"/>
  <c r="H84" i="4"/>
  <c r="G84" i="4"/>
  <c r="F84" i="4"/>
  <c r="E84" i="4"/>
  <c r="D84" i="4"/>
  <c r="X2" i="2"/>
  <c r="X3" i="2"/>
  <c r="X4" i="2"/>
  <c r="X5" i="2"/>
  <c r="X6" i="2"/>
  <c r="X7" i="2"/>
  <c r="X8" i="2"/>
  <c r="X9" i="2"/>
  <c r="X10" i="2"/>
  <c r="X11" i="2"/>
  <c r="X12" i="2"/>
  <c r="X13" i="2"/>
  <c r="X14" i="2"/>
  <c r="X15" i="2"/>
  <c r="X16" i="2"/>
  <c r="X17" i="2"/>
  <c r="X18" i="2"/>
  <c r="X19" i="2"/>
  <c r="X20" i="2"/>
  <c r="X21" i="2"/>
  <c r="W2" i="2"/>
  <c r="W3" i="2"/>
  <c r="W4" i="2"/>
  <c r="W5" i="2"/>
  <c r="W6" i="2"/>
  <c r="W7" i="2"/>
  <c r="W8" i="2"/>
  <c r="W9" i="2"/>
  <c r="W10" i="2"/>
  <c r="W11" i="2"/>
  <c r="W12" i="2"/>
  <c r="W13" i="2"/>
  <c r="W14" i="2"/>
  <c r="W15" i="2"/>
  <c r="W16" i="2"/>
  <c r="W17" i="2"/>
  <c r="W18" i="2"/>
  <c r="W19" i="2"/>
  <c r="W20" i="2"/>
  <c r="W21" i="2"/>
  <c r="U37" i="4" l="1"/>
  <c r="U36" i="4"/>
  <c r="U35" i="4"/>
  <c r="U34" i="4"/>
  <c r="U33" i="4"/>
  <c r="U32" i="4"/>
  <c r="U31" i="4"/>
  <c r="U30" i="4"/>
  <c r="U28" i="4"/>
  <c r="T37" i="4"/>
  <c r="T36" i="4"/>
  <c r="T35" i="4"/>
  <c r="T48" i="4" s="1"/>
  <c r="T34" i="4"/>
  <c r="T33" i="4"/>
  <c r="T32" i="4"/>
  <c r="T31" i="4"/>
  <c r="T30" i="4"/>
  <c r="T28" i="4"/>
  <c r="S37" i="4"/>
  <c r="S36" i="4"/>
  <c r="S35" i="4"/>
  <c r="S34" i="4"/>
  <c r="S33" i="4"/>
  <c r="S32" i="4"/>
  <c r="S45" i="4" s="1"/>
  <c r="S31" i="4"/>
  <c r="S30" i="4"/>
  <c r="S43" i="4" s="1"/>
  <c r="S28" i="4"/>
  <c r="R37" i="4"/>
  <c r="R36" i="4"/>
  <c r="R35" i="4"/>
  <c r="R34" i="4"/>
  <c r="R33" i="4"/>
  <c r="R32" i="4"/>
  <c r="R31" i="4"/>
  <c r="R30" i="4"/>
  <c r="R28" i="4"/>
  <c r="R41" i="4" s="1"/>
  <c r="Q37" i="4"/>
  <c r="Q36" i="4"/>
  <c r="Q35" i="4"/>
  <c r="Q34" i="4"/>
  <c r="Q33" i="4"/>
  <c r="Q32" i="4"/>
  <c r="Q31" i="4"/>
  <c r="Q30" i="4"/>
  <c r="Q43" i="4" s="1"/>
  <c r="Q28" i="4"/>
  <c r="P37" i="4"/>
  <c r="P36" i="4"/>
  <c r="P35" i="4"/>
  <c r="P48" i="4" s="1"/>
  <c r="P34" i="4"/>
  <c r="P33" i="4"/>
  <c r="P32" i="4"/>
  <c r="P31" i="4"/>
  <c r="P30" i="4"/>
  <c r="P43" i="4" s="1"/>
  <c r="P28" i="4"/>
  <c r="O37" i="4"/>
  <c r="O36" i="4"/>
  <c r="O35" i="4"/>
  <c r="O34" i="4"/>
  <c r="O33" i="4"/>
  <c r="O32" i="4"/>
  <c r="O45" i="4" s="1"/>
  <c r="O31" i="4"/>
  <c r="O30" i="4"/>
  <c r="O43" i="4" s="1"/>
  <c r="O28" i="4"/>
  <c r="N37" i="4"/>
  <c r="N36" i="4"/>
  <c r="N35" i="4"/>
  <c r="N34" i="4"/>
  <c r="N33" i="4"/>
  <c r="N32" i="4"/>
  <c r="N31" i="4"/>
  <c r="N30" i="4"/>
  <c r="N43" i="4" s="1"/>
  <c r="N28" i="4"/>
  <c r="N41" i="4" s="1"/>
  <c r="M37" i="4"/>
  <c r="M36" i="4"/>
  <c r="M35" i="4"/>
  <c r="M34" i="4"/>
  <c r="M33" i="4"/>
  <c r="M32" i="4"/>
  <c r="M31" i="4"/>
  <c r="M30" i="4"/>
  <c r="M43" i="4" s="1"/>
  <c r="M28" i="4"/>
  <c r="L37" i="4"/>
  <c r="L36" i="4"/>
  <c r="L35" i="4"/>
  <c r="L48" i="4" s="1"/>
  <c r="L34" i="4"/>
  <c r="L33" i="4"/>
  <c r="L32" i="4"/>
  <c r="L31" i="4"/>
  <c r="L30" i="4"/>
  <c r="L43" i="4" s="1"/>
  <c r="L28" i="4"/>
  <c r="K37" i="4"/>
  <c r="K36" i="4"/>
  <c r="K35" i="4"/>
  <c r="K34" i="4"/>
  <c r="K33" i="4"/>
  <c r="K32" i="4"/>
  <c r="K45" i="4" s="1"/>
  <c r="K31" i="4"/>
  <c r="K30" i="4"/>
  <c r="K43" i="4" s="1"/>
  <c r="K28" i="4"/>
  <c r="J37" i="4"/>
  <c r="J36" i="4"/>
  <c r="J35" i="4"/>
  <c r="J34" i="4"/>
  <c r="J33" i="4"/>
  <c r="J32" i="4"/>
  <c r="J31" i="4"/>
  <c r="J30" i="4"/>
  <c r="J43" i="4" s="1"/>
  <c r="J28" i="4"/>
  <c r="I37" i="4"/>
  <c r="I36" i="4"/>
  <c r="I35" i="4"/>
  <c r="I34" i="4"/>
  <c r="I33" i="4"/>
  <c r="I32" i="4"/>
  <c r="I31" i="4"/>
  <c r="I30" i="4"/>
  <c r="I43" i="4" s="1"/>
  <c r="I28" i="4"/>
  <c r="H37" i="4"/>
  <c r="H36" i="4"/>
  <c r="H35" i="4"/>
  <c r="H34" i="4"/>
  <c r="H33" i="4"/>
  <c r="H32" i="4"/>
  <c r="H31" i="4"/>
  <c r="H30" i="4"/>
  <c r="H43" i="4" s="1"/>
  <c r="H28" i="4"/>
  <c r="G37" i="4"/>
  <c r="G36" i="4"/>
  <c r="G35" i="4"/>
  <c r="G34" i="4"/>
  <c r="G33" i="4"/>
  <c r="G32" i="4"/>
  <c r="G31" i="4"/>
  <c r="G30" i="4"/>
  <c r="G43" i="4" s="1"/>
  <c r="G28" i="4"/>
  <c r="F37" i="4"/>
  <c r="F36" i="4"/>
  <c r="F35" i="4"/>
  <c r="F34" i="4"/>
  <c r="F33" i="4"/>
  <c r="F32" i="4"/>
  <c r="F31" i="4"/>
  <c r="F30" i="4"/>
  <c r="F43" i="4" s="1"/>
  <c r="F29" i="4"/>
  <c r="F28" i="4"/>
  <c r="E37" i="4"/>
  <c r="E36" i="4"/>
  <c r="E35" i="4"/>
  <c r="E34" i="4"/>
  <c r="E33" i="4"/>
  <c r="E32" i="4"/>
  <c r="E28" i="4"/>
  <c r="E31" i="4"/>
  <c r="E30" i="4"/>
  <c r="E43" i="4" s="1"/>
  <c r="D37" i="4"/>
  <c r="D36" i="4"/>
  <c r="D35" i="4"/>
  <c r="D34" i="4"/>
  <c r="D33" i="4"/>
  <c r="D32" i="4"/>
  <c r="D31" i="4"/>
  <c r="D30" i="4"/>
  <c r="D43" i="4" s="1"/>
  <c r="D28" i="4"/>
  <c r="C37" i="4"/>
  <c r="C36" i="4"/>
  <c r="C35" i="4"/>
  <c r="C34" i="4"/>
  <c r="C33" i="4"/>
  <c r="C32" i="4"/>
  <c r="C31" i="4"/>
  <c r="C30" i="4"/>
  <c r="C43" i="4" s="1"/>
  <c r="C28" i="4"/>
  <c r="B37" i="4"/>
  <c r="B36" i="4"/>
  <c r="B35" i="4"/>
  <c r="B34" i="4"/>
  <c r="B33" i="4"/>
  <c r="B32" i="4"/>
  <c r="B31" i="4"/>
  <c r="B28" i="4"/>
  <c r="B30" i="4"/>
  <c r="B43" i="4" s="1"/>
  <c r="U29" i="4"/>
  <c r="T29" i="4"/>
  <c r="S29" i="4"/>
  <c r="R29" i="4"/>
  <c r="Q29" i="4"/>
  <c r="P29" i="4"/>
  <c r="O29" i="4"/>
  <c r="N29" i="4"/>
  <c r="M29" i="4"/>
  <c r="L29" i="4"/>
  <c r="L42" i="4" s="1"/>
  <c r="K29" i="4"/>
  <c r="K42" i="4" s="1"/>
  <c r="J29" i="4"/>
  <c r="I29" i="4"/>
  <c r="H29" i="4"/>
  <c r="G29" i="4"/>
  <c r="E29" i="4"/>
  <c r="D29" i="4"/>
  <c r="C29" i="4"/>
  <c r="B29" i="4"/>
  <c r="C22" i="11"/>
  <c r="C21" i="11"/>
  <c r="C20" i="11"/>
  <c r="C19" i="11"/>
  <c r="C18" i="11"/>
  <c r="C17" i="11"/>
  <c r="C16" i="11"/>
  <c r="C15" i="11"/>
  <c r="C14" i="11"/>
  <c r="C13" i="11"/>
  <c r="C12" i="11"/>
  <c r="C11" i="11"/>
  <c r="B12" i="11"/>
  <c r="B13" i="11"/>
  <c r="B14" i="11"/>
  <c r="B15" i="11"/>
  <c r="B16" i="11"/>
  <c r="E16" i="11" s="1"/>
  <c r="B17" i="11"/>
  <c r="E17" i="11" s="1"/>
  <c r="B18" i="11"/>
  <c r="B19" i="11"/>
  <c r="B20" i="11"/>
  <c r="E20" i="11" s="1"/>
  <c r="B21" i="11"/>
  <c r="E21" i="11" s="1"/>
  <c r="B22" i="11"/>
  <c r="B11" i="11"/>
  <c r="E14" i="11" l="1"/>
  <c r="N42" i="4"/>
  <c r="T45" i="4"/>
  <c r="M46" i="4"/>
  <c r="T46" i="4"/>
  <c r="B41" i="4"/>
  <c r="K46" i="4"/>
  <c r="L49" i="4"/>
  <c r="O46" i="4"/>
  <c r="P49" i="4"/>
  <c r="R43" i="4"/>
  <c r="S46" i="4"/>
  <c r="T49" i="4"/>
  <c r="F42" i="4"/>
  <c r="O47" i="4"/>
  <c r="P50" i="4"/>
  <c r="R44" i="4"/>
  <c r="S47" i="4"/>
  <c r="D49" i="4"/>
  <c r="B44" i="4"/>
  <c r="G46" i="4"/>
  <c r="M42" i="4"/>
  <c r="T50" i="4"/>
  <c r="C46" i="4"/>
  <c r="G45" i="4"/>
  <c r="J41" i="4"/>
  <c r="D50" i="4"/>
  <c r="D42" i="4"/>
  <c r="Q42" i="4"/>
  <c r="B49" i="4"/>
  <c r="E46" i="4"/>
  <c r="F48" i="4"/>
  <c r="B50" i="4"/>
  <c r="H48" i="4"/>
  <c r="C47" i="4"/>
  <c r="H49" i="4"/>
  <c r="F49" i="4"/>
  <c r="I46" i="4"/>
  <c r="J49" i="4"/>
  <c r="M47" i="4"/>
  <c r="N50" i="4"/>
  <c r="P44" i="4"/>
  <c r="Q47" i="4"/>
  <c r="R50" i="4"/>
  <c r="T44" i="4"/>
  <c r="L50" i="4"/>
  <c r="B45" i="4"/>
  <c r="F44" i="4"/>
  <c r="H50" i="4"/>
  <c r="K47" i="4"/>
  <c r="C48" i="4"/>
  <c r="G47" i="4"/>
  <c r="J44" i="4"/>
  <c r="N44" i="4"/>
  <c r="E41" i="4"/>
  <c r="H44" i="4"/>
  <c r="E48" i="4"/>
  <c r="I47" i="4"/>
  <c r="L44" i="4"/>
  <c r="H42" i="4"/>
  <c r="T42" i="4"/>
  <c r="E49" i="4"/>
  <c r="G41" i="4"/>
  <c r="H45" i="4"/>
  <c r="I48" i="4"/>
  <c r="K41" i="4"/>
  <c r="L45" i="4"/>
  <c r="M48" i="4"/>
  <c r="O41" i="4"/>
  <c r="P45" i="4"/>
  <c r="Q48" i="4"/>
  <c r="S41" i="4"/>
  <c r="F50" i="4"/>
  <c r="J50" i="4"/>
  <c r="I42" i="4"/>
  <c r="L46" i="4"/>
  <c r="M49" i="4"/>
  <c r="P46" i="4"/>
  <c r="Q49" i="4"/>
  <c r="C42" i="4"/>
  <c r="P42" i="4"/>
  <c r="B48" i="4"/>
  <c r="D41" i="4"/>
  <c r="E45" i="4"/>
  <c r="H41" i="4"/>
  <c r="I45" i="4"/>
  <c r="J48" i="4"/>
  <c r="L41" i="4"/>
  <c r="M45" i="4"/>
  <c r="N48" i="4"/>
  <c r="P41" i="4"/>
  <c r="Q45" i="4"/>
  <c r="R48" i="4"/>
  <c r="T41" i="4"/>
  <c r="D44" i="4"/>
  <c r="N49" i="4"/>
  <c r="Q46" i="4"/>
  <c r="R49" i="4"/>
  <c r="T43" i="4"/>
  <c r="G42" i="4"/>
  <c r="S42" i="4"/>
  <c r="F45" i="4"/>
  <c r="J45" i="4"/>
  <c r="N45" i="4"/>
  <c r="O48" i="4"/>
  <c r="Q41" i="4"/>
  <c r="R45" i="4"/>
  <c r="S48" i="4"/>
  <c r="B46" i="4"/>
  <c r="C49" i="4"/>
  <c r="E44" i="4"/>
  <c r="G48" i="4"/>
  <c r="I41" i="4"/>
  <c r="K48" i="4"/>
  <c r="M41" i="4"/>
  <c r="B42" i="4"/>
  <c r="O42" i="4"/>
  <c r="B47" i="4"/>
  <c r="C50" i="4"/>
  <c r="F46" i="4"/>
  <c r="G49" i="4"/>
  <c r="J46" i="4"/>
  <c r="K49" i="4"/>
  <c r="N46" i="4"/>
  <c r="O49" i="4"/>
  <c r="R46" i="4"/>
  <c r="S49" i="4"/>
  <c r="F47" i="4"/>
  <c r="G50" i="4"/>
  <c r="I44" i="4"/>
  <c r="J47" i="4"/>
  <c r="K50" i="4"/>
  <c r="M44" i="4"/>
  <c r="N47" i="4"/>
  <c r="O50" i="4"/>
  <c r="Q44" i="4"/>
  <c r="R47" i="4"/>
  <c r="S50" i="4"/>
  <c r="E47" i="4"/>
  <c r="E42" i="4"/>
  <c r="D45" i="4"/>
  <c r="C44" i="4"/>
  <c r="R42" i="4"/>
  <c r="C41" i="4"/>
  <c r="D46" i="4"/>
  <c r="D47" i="4"/>
  <c r="E50" i="4"/>
  <c r="H46" i="4"/>
  <c r="I49" i="4"/>
  <c r="J42" i="4"/>
  <c r="C45" i="4"/>
  <c r="D48" i="4"/>
  <c r="F41" i="4"/>
  <c r="G44" i="4"/>
  <c r="H47" i="4"/>
  <c r="I50" i="4"/>
  <c r="K44" i="4"/>
  <c r="L47" i="4"/>
  <c r="M50" i="4"/>
  <c r="O44" i="4"/>
  <c r="P47" i="4"/>
  <c r="Q50" i="4"/>
  <c r="S44" i="4"/>
  <c r="T47" i="4"/>
  <c r="E22" i="11"/>
  <c r="E12" i="11"/>
  <c r="E19" i="11"/>
  <c r="E18" i="11"/>
  <c r="E15" i="11"/>
  <c r="E13" i="11"/>
  <c r="E11" i="11"/>
  <c r="P106" i="6"/>
  <c r="Q106" i="6"/>
  <c r="Q2" i="6"/>
  <c r="Q3" i="6"/>
  <c r="Q4" i="6"/>
  <c r="Q5" i="6"/>
  <c r="Q6" i="6"/>
  <c r="Q7" i="6"/>
  <c r="Q8" i="6"/>
  <c r="Q9" i="6"/>
  <c r="Q10" i="6"/>
  <c r="Q11" i="6"/>
  <c r="Q12" i="6"/>
  <c r="Q13" i="6"/>
  <c r="Q14" i="6"/>
  <c r="Q15" i="6"/>
  <c r="Q16" i="6"/>
  <c r="Q17" i="6"/>
  <c r="Q18" i="6"/>
  <c r="Q19" i="6"/>
  <c r="Q20" i="6"/>
  <c r="Q21" i="6"/>
  <c r="Q22" i="6"/>
  <c r="Q23" i="6"/>
  <c r="Q24" i="6"/>
  <c r="Q25" i="6"/>
  <c r="Q26" i="6"/>
  <c r="Q27" i="6"/>
  <c r="Q28" i="6"/>
  <c r="Q29" i="6"/>
  <c r="Q30" i="6"/>
  <c r="Q31" i="6"/>
  <c r="Q32" i="6"/>
  <c r="Q33" i="6"/>
  <c r="Q34" i="6"/>
  <c r="Q35" i="6"/>
  <c r="Q36" i="6"/>
  <c r="Q37" i="6"/>
  <c r="Q38" i="6"/>
  <c r="Q39" i="6"/>
  <c r="Q40" i="6"/>
  <c r="Q41" i="6"/>
  <c r="Q42" i="6"/>
  <c r="Q43" i="6"/>
  <c r="Q44" i="6"/>
  <c r="Q45" i="6"/>
  <c r="Q46" i="6"/>
  <c r="Q47" i="6"/>
  <c r="Q48" i="6"/>
  <c r="Q49" i="6"/>
  <c r="Q50" i="6"/>
  <c r="Q51" i="6"/>
  <c r="Q52" i="6"/>
  <c r="Q53" i="6"/>
  <c r="Q54" i="6"/>
  <c r="Q55" i="6"/>
  <c r="Q56" i="6"/>
  <c r="Q57" i="6"/>
  <c r="Q58" i="6"/>
  <c r="Q59" i="6"/>
  <c r="Q60" i="6"/>
  <c r="Q61" i="6"/>
  <c r="Q62" i="6"/>
  <c r="Q63" i="6"/>
  <c r="Q64" i="6"/>
  <c r="Q65" i="6"/>
  <c r="Q66" i="6"/>
  <c r="Q67" i="6"/>
  <c r="Q68" i="6"/>
  <c r="Q69" i="6"/>
  <c r="Q70" i="6"/>
  <c r="Q71" i="6"/>
  <c r="Q72" i="6"/>
  <c r="Q73" i="6"/>
  <c r="Q74" i="6"/>
  <c r="Q75" i="6"/>
  <c r="Q76" i="6"/>
  <c r="Q77" i="6"/>
  <c r="Q78" i="6"/>
  <c r="Q79" i="6"/>
  <c r="Q80" i="6"/>
  <c r="Q81" i="6"/>
  <c r="Q82" i="6"/>
  <c r="Q83" i="6"/>
  <c r="Q84" i="6"/>
  <c r="Q85" i="6"/>
  <c r="Q86" i="6"/>
  <c r="Q87" i="6"/>
  <c r="Q88" i="6"/>
  <c r="Q89" i="6"/>
  <c r="Q90" i="6"/>
  <c r="Q91" i="6"/>
  <c r="Q92" i="6"/>
  <c r="Q93" i="6"/>
  <c r="Q94" i="6"/>
  <c r="Q95" i="6"/>
  <c r="Q96" i="6"/>
  <c r="Q97" i="6"/>
  <c r="Q98" i="6"/>
  <c r="Q99" i="6"/>
  <c r="Q100" i="6"/>
  <c r="Q101" i="6"/>
  <c r="Q102" i="6"/>
  <c r="Q103" i="6"/>
  <c r="Q104" i="6"/>
  <c r="Q105" i="6"/>
  <c r="P2" i="6"/>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rime" description="Connection to the 'Crime' query in the workbook." type="5" refreshedVersion="6" background="1" saveData="1">
    <dbPr connection="Provider=Microsoft.Mashup.OleDb.1;Data Source=$Workbook$;Location=Crime;Extended Properties=&quot;&quot;" command="SELECT * FROM [Crime]"/>
  </connection>
  <connection id="2" xr16:uid="{00000000-0015-0000-FFFF-FFFF01000000}" keepAlive="1" name="Query - Table 0" description="Connection to the 'Table 0' query in the workbook." type="5" refreshedVersion="6" background="1" saveData="1">
    <dbPr connection="Provider=Microsoft.Mashup.OleDb.1;Data Source=$Workbook$;Location=Table 0;Extended Properties=&quot;&quot;" command="SELECT * FROM [Table 0]"/>
  </connection>
</connections>
</file>

<file path=xl/sharedStrings.xml><?xml version="1.0" encoding="utf-8"?>
<sst xmlns="http://schemas.openxmlformats.org/spreadsheetml/2006/main" count="619" uniqueCount="133">
  <si>
    <t>Year</t>
  </si>
  <si>
    <t>Population1</t>
  </si>
  <si>
    <t>Violent crime2</t>
  </si>
  <si>
    <t>Violent  crime  rate</t>
  </si>
  <si>
    <t>Murder and nonnegligent  manslaughter</t>
  </si>
  <si>
    <t>Murder and  nonnegligent  manslaughter  rate</t>
  </si>
  <si>
    <t>Rape (revised  definition3)</t>
  </si>
  <si>
    <t>Rape (revised  definition)  rate3</t>
  </si>
  <si>
    <t>Rape (legacy  definition4)</t>
  </si>
  <si>
    <t>Rape (legacy  definition)  rate4</t>
  </si>
  <si>
    <t>Robbery</t>
  </si>
  <si>
    <t>Robbery  rate</t>
  </si>
  <si>
    <t>Aggravated  assault</t>
  </si>
  <si>
    <t>Aggravated  assault rate</t>
  </si>
  <si>
    <t>Property  crime</t>
  </si>
  <si>
    <t>Property  crime  rate</t>
  </si>
  <si>
    <t>Burglary</t>
  </si>
  <si>
    <t>Burglary  rate</t>
  </si>
  <si>
    <t>Larceny- theft</t>
  </si>
  <si>
    <t>Larceny- theft rate</t>
  </si>
  <si>
    <t>Motor  vehicle  theft</t>
  </si>
  <si>
    <t>Motor  vehicle  theft  rate</t>
  </si>
  <si>
    <t>Row Labels</t>
  </si>
  <si>
    <t>Grand Total</t>
  </si>
  <si>
    <t>Sum of Violent crime2</t>
  </si>
  <si>
    <t>Sum of Robbery</t>
  </si>
  <si>
    <t>Sum of Aggravated  assault</t>
  </si>
  <si>
    <t>Sum of Property  crime</t>
  </si>
  <si>
    <t>Sum of Burglary</t>
  </si>
  <si>
    <t>Sum of Larceny- theft</t>
  </si>
  <si>
    <t>Sum of Motor  vehicle  theft</t>
  </si>
  <si>
    <t>Sum of Murder and nonnegligent  manslaughter</t>
  </si>
  <si>
    <t>Column Labels</t>
  </si>
  <si>
    <t>States</t>
  </si>
  <si>
    <t>Region</t>
  </si>
  <si>
    <t>Population</t>
  </si>
  <si>
    <t>Violent crime</t>
  </si>
  <si>
    <t>Murder and  nonnegligent  manslaughter</t>
  </si>
  <si>
    <t>Rape (revised definition)</t>
  </si>
  <si>
    <t>Rape (legacy definition)</t>
  </si>
  <si>
    <t>Aggravated assault</t>
  </si>
  <si>
    <t>Property crime</t>
  </si>
  <si>
    <t>Larceny-theft</t>
  </si>
  <si>
    <t>Motor vehicle theft</t>
  </si>
  <si>
    <t>Connecticut</t>
  </si>
  <si>
    <t>2015</t>
  </si>
  <si>
    <t>2016</t>
  </si>
  <si>
    <t>Maine</t>
  </si>
  <si>
    <t>Massachusetts</t>
  </si>
  <si>
    <t>New Hampshire</t>
  </si>
  <si>
    <t>Rhode Island</t>
  </si>
  <si>
    <t>Vermont</t>
  </si>
  <si>
    <t>New Jersey</t>
  </si>
  <si>
    <t>New York</t>
  </si>
  <si>
    <t>Pennsylvania</t>
  </si>
  <si>
    <t>Illinois</t>
  </si>
  <si>
    <t>Indiana</t>
  </si>
  <si>
    <t>Michigan</t>
  </si>
  <si>
    <t>Ohio</t>
  </si>
  <si>
    <t>Wisconsin</t>
  </si>
  <si>
    <t>Iowa</t>
  </si>
  <si>
    <t>Kansas</t>
  </si>
  <si>
    <t>Minnesota</t>
  </si>
  <si>
    <t>Missouri</t>
  </si>
  <si>
    <t>Nebraska</t>
  </si>
  <si>
    <t>North Dakota</t>
  </si>
  <si>
    <t>South Dakota</t>
  </si>
  <si>
    <t>Delaware</t>
  </si>
  <si>
    <t>District of Columbia</t>
  </si>
  <si>
    <t>Florida</t>
  </si>
  <si>
    <t>Georgia</t>
  </si>
  <si>
    <t>Maryland</t>
  </si>
  <si>
    <t>North Carolina</t>
  </si>
  <si>
    <t>South Carolina</t>
  </si>
  <si>
    <t>Virginia</t>
  </si>
  <si>
    <t>West Virginia</t>
  </si>
  <si>
    <t>Alabama</t>
  </si>
  <si>
    <t>Kentucky</t>
  </si>
  <si>
    <t>Mississippi</t>
  </si>
  <si>
    <t>Tennessee</t>
  </si>
  <si>
    <t>Arkansas</t>
  </si>
  <si>
    <t>Louisiana</t>
  </si>
  <si>
    <t>Oklahoma</t>
  </si>
  <si>
    <t>Texas</t>
  </si>
  <si>
    <t>Arizona</t>
  </si>
  <si>
    <t>Colorado</t>
  </si>
  <si>
    <t>Idaho</t>
  </si>
  <si>
    <t>Montana</t>
  </si>
  <si>
    <t>Nevada</t>
  </si>
  <si>
    <t>New Mexico</t>
  </si>
  <si>
    <t>Utah</t>
  </si>
  <si>
    <t>Wyoming</t>
  </si>
  <si>
    <t>Alaska</t>
  </si>
  <si>
    <t>California</t>
  </si>
  <si>
    <t>Hawaii</t>
  </si>
  <si>
    <t>Oregon</t>
  </si>
  <si>
    <t>Washington</t>
  </si>
  <si>
    <t>Puerto Rico</t>
  </si>
  <si>
    <t>Northeast</t>
  </si>
  <si>
    <t>Midwest</t>
  </si>
  <si>
    <t xml:space="preserve">South  </t>
  </si>
  <si>
    <t>West</t>
  </si>
  <si>
    <t>Sub-regions</t>
  </si>
  <si>
    <t>New England</t>
  </si>
  <si>
    <t>Mid-Atlantic</t>
  </si>
  <si>
    <t>East North Central</t>
  </si>
  <si>
    <t>West North Central</t>
  </si>
  <si>
    <t xml:space="preserve">South Atlantic </t>
  </si>
  <si>
    <t>East South Central</t>
  </si>
  <si>
    <t>West South Central</t>
  </si>
  <si>
    <t>Mountain</t>
  </si>
  <si>
    <t>Pacific</t>
  </si>
  <si>
    <t>Sum of Population</t>
  </si>
  <si>
    <t>(All)</t>
  </si>
  <si>
    <t>Sum of Violent crime</t>
  </si>
  <si>
    <t>Sum of Murder and  nonnegligent  manslaughter</t>
  </si>
  <si>
    <t>Sum of Rape (revised definition)</t>
  </si>
  <si>
    <t>Sum of Rape (legacy definition)</t>
  </si>
  <si>
    <t>Sum of Aggravated assault</t>
  </si>
  <si>
    <t>Sum of Property crime</t>
  </si>
  <si>
    <t>Sum of Larceny-theft</t>
  </si>
  <si>
    <t>Sum of Motor vehicle theft</t>
  </si>
  <si>
    <t>Total Crimes(rape revised)</t>
  </si>
  <si>
    <t>Total Crime(rape legacy)</t>
  </si>
  <si>
    <t>Sum of Total Crimes(rape revised)</t>
  </si>
  <si>
    <t>Total</t>
  </si>
  <si>
    <t>Sum of Total Crime(rape legacy)</t>
  </si>
  <si>
    <t>Sum of Rape (revised  definition3)</t>
  </si>
  <si>
    <t>Sum of Rape (legacy  definition4)</t>
  </si>
  <si>
    <t>Total(Legacy def)</t>
  </si>
  <si>
    <t>Total(Revised)</t>
  </si>
  <si>
    <t>Sum of Total(Legacy def)</t>
  </si>
  <si>
    <t>Sum of Total(Revised)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</si>
</sst>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Red]#,##0.00"/>
    <numFmt numFmtId="165" formatCode="#,##0;[Red]#,##0"/>
  </numFmts>
  <fonts count="2" x14ac:knownFonts="1">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9" tint="0.59996337778862885"/>
        <bgColor theme="4" tint="0.79995117038483843"/>
      </patternFill>
    </fill>
  </fills>
  <borders count="2">
    <border>
      <left/>
      <right/>
      <top/>
      <bottom/>
      <diagonal/>
    </border>
    <border>
      <left/>
      <right/>
      <top/>
      <bottom style="thin">
        <color theme="4" tint="0.39997558519241921"/>
      </bottom>
      <diagonal/>
    </border>
  </borders>
  <cellStyleXfs count="1">
    <xf numFmtId="0" fontId="0" fillId="0" borderId="0"/>
  </cellStyleXfs>
  <cellXfs count="14">
    <xf numFmtId="0" fontId="0" fillId="0" borderId="0" xfId="0"/>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1" fillId="2" borderId="1" xfId="0" applyFont="1" applyFill="1" applyBorder="1"/>
    <xf numFmtId="0" fontId="1" fillId="3" borderId="0" xfId="0" applyFont="1" applyFill="1" applyAlignment="1">
      <alignment horizontal="left"/>
    </xf>
    <xf numFmtId="10" fontId="0" fillId="0" borderId="0" xfId="0" applyNumberFormat="1"/>
    <xf numFmtId="0" fontId="1" fillId="4" borderId="1" xfId="0" applyFont="1" applyFill="1" applyBorder="1"/>
    <xf numFmtId="1" fontId="0" fillId="3" borderId="0" xfId="0" applyNumberFormat="1" applyFill="1" applyAlignment="1">
      <alignment horizontal="left"/>
    </xf>
    <xf numFmtId="165" fontId="0" fillId="0" borderId="0" xfId="0" applyNumberFormat="1" applyFont="1"/>
    <xf numFmtId="0" fontId="0" fillId="3" borderId="0" xfId="0" applyFill="1" applyAlignment="1">
      <alignment horizontal="left"/>
    </xf>
    <xf numFmtId="0" fontId="0" fillId="0" borderId="0" xfId="0" applyFill="1" applyAlignment="1">
      <alignment horizontal="left"/>
    </xf>
  </cellXfs>
  <cellStyles count="1">
    <cellStyle name="Normal" xfId="0" builtinId="0"/>
  </cellStyles>
  <dxfs count="65">
    <dxf>
      <numFmt numFmtId="165" formatCode="#,##0;[Red]#,##0"/>
    </dxf>
    <dxf>
      <numFmt numFmtId="165" formatCode="#,##0;[Red]#,##0"/>
    </dxf>
    <dxf>
      <numFmt numFmtId="14" formatCode="0.0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0" formatCode="General"/>
    </dxf>
    <dxf>
      <numFmt numFmtId="0" formatCode="General"/>
    </dxf>
    <dxf>
      <numFmt numFmtId="0" formatCode="General"/>
    </dxf>
    <dxf>
      <numFmt numFmtId="0" formatCode="General"/>
    </dxf>
    <dxf>
      <numFmt numFmtId="164" formatCode="#,##0.00;[Red]#,##0.00"/>
    </dxf>
    <dxf>
      <numFmt numFmtId="164" formatCode="#,##0.00;[Red]#,##0.0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
      <numFmt numFmtId="165" formatCode="#,##0;[Red]#,##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[FBI Crime Data.xlsm]NationPivot!PivotTable1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Year</a:t>
            </a:r>
            <a:r>
              <a:rPr lang="en-US" baseline="0"/>
              <a:t>ly Crime Incidents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
        <c:idx val="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pivotFmt>
      <c:pivotFmt>
        <c:idx val="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pivotFmt>
      <c:pivotFmt>
        <c:idx val="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pivotFmt>
      <c:pivotFmt>
        <c:idx val="8"/>
      </c:pivotFmt>
      <c:pivotFmt>
        <c:idx val="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pivotFmt>
      <c:pivotFmt>
        <c:idx val="1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NationPivot!$B$3</c:f>
              <c:strCache>
                <c:ptCount val="1"/>
                <c:pt idx="0">
                  <c:v>Sum of Violent crime2</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NationPivot!$A$4:$A$23</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NationPivot!$B$4:$B$23</c:f>
              <c:numCache>
                <c:formatCode>#,##0.00;[Red]#,##0.00</c:formatCode>
                <c:ptCount val="20"/>
                <c:pt idx="0">
                  <c:v>1636096</c:v>
                </c:pt>
                <c:pt idx="1">
                  <c:v>1533887</c:v>
                </c:pt>
                <c:pt idx="2">
                  <c:v>1426044</c:v>
                </c:pt>
                <c:pt idx="3">
                  <c:v>1425486</c:v>
                </c:pt>
                <c:pt idx="4">
                  <c:v>1439480</c:v>
                </c:pt>
                <c:pt idx="5">
                  <c:v>1423677</c:v>
                </c:pt>
                <c:pt idx="6">
                  <c:v>1383676</c:v>
                </c:pt>
                <c:pt idx="7">
                  <c:v>1360088</c:v>
                </c:pt>
                <c:pt idx="8">
                  <c:v>1390745</c:v>
                </c:pt>
                <c:pt idx="9">
                  <c:v>1435123</c:v>
                </c:pt>
                <c:pt idx="10">
                  <c:v>1422970</c:v>
                </c:pt>
                <c:pt idx="11">
                  <c:v>1394461</c:v>
                </c:pt>
                <c:pt idx="12">
                  <c:v>1325896</c:v>
                </c:pt>
                <c:pt idx="13">
                  <c:v>1251248</c:v>
                </c:pt>
                <c:pt idx="14">
                  <c:v>1206005</c:v>
                </c:pt>
                <c:pt idx="15">
                  <c:v>1217057</c:v>
                </c:pt>
                <c:pt idx="16">
                  <c:v>1168298</c:v>
                </c:pt>
                <c:pt idx="17">
                  <c:v>1153022</c:v>
                </c:pt>
                <c:pt idx="18">
                  <c:v>1199310</c:v>
                </c:pt>
                <c:pt idx="19">
                  <c:v>1248185</c:v>
                </c:pt>
              </c:numCache>
            </c:numRef>
          </c:val>
          <c:smooth val="0"/>
          <c:extLst>
            <c:ext xmlns:c16="http://schemas.microsoft.com/office/drawing/2014/chart" uri="{C3380CC4-5D6E-409C-BE32-E72D297353CC}">
              <c16:uniqueId val="{00000000-728F-4872-9026-5CDCB7BD1F9D}"/>
            </c:ext>
          </c:extLst>
        </c:ser>
        <c:ser>
          <c:idx val="1"/>
          <c:order val="1"/>
          <c:tx>
            <c:strRef>
              <c:f>NationPivot!$C$3</c:f>
              <c:strCache>
                <c:ptCount val="1"/>
                <c:pt idx="0">
                  <c:v>Sum of Murder and nonnegligent  manslaughter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NationPivot!$A$4:$A$23</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NationPivot!$C$4:$C$23</c:f>
              <c:numCache>
                <c:formatCode>#,##0.00;[Red]#,##0.00</c:formatCode>
                <c:ptCount val="20"/>
                <c:pt idx="0">
                  <c:v>18208</c:v>
                </c:pt>
                <c:pt idx="1">
                  <c:v>16974</c:v>
                </c:pt>
                <c:pt idx="2">
                  <c:v>15522</c:v>
                </c:pt>
                <c:pt idx="3">
                  <c:v>15586</c:v>
                </c:pt>
                <c:pt idx="4">
                  <c:v>16037</c:v>
                </c:pt>
                <c:pt idx="5">
                  <c:v>16229</c:v>
                </c:pt>
                <c:pt idx="6">
                  <c:v>16528</c:v>
                </c:pt>
                <c:pt idx="7">
                  <c:v>16148</c:v>
                </c:pt>
                <c:pt idx="8">
                  <c:v>16740</c:v>
                </c:pt>
                <c:pt idx="9">
                  <c:v>17309</c:v>
                </c:pt>
                <c:pt idx="10">
                  <c:v>17128</c:v>
                </c:pt>
                <c:pt idx="11">
                  <c:v>16465</c:v>
                </c:pt>
                <c:pt idx="12">
                  <c:v>15399</c:v>
                </c:pt>
                <c:pt idx="13">
                  <c:v>14722</c:v>
                </c:pt>
                <c:pt idx="14">
                  <c:v>14661</c:v>
                </c:pt>
                <c:pt idx="15">
                  <c:v>14856</c:v>
                </c:pt>
                <c:pt idx="16">
                  <c:v>14319</c:v>
                </c:pt>
                <c:pt idx="17">
                  <c:v>14164</c:v>
                </c:pt>
                <c:pt idx="18">
                  <c:v>15883</c:v>
                </c:pt>
                <c:pt idx="19">
                  <c:v>17250</c:v>
                </c:pt>
              </c:numCache>
            </c:numRef>
          </c:val>
          <c:smooth val="0"/>
          <c:extLst>
            <c:ext xmlns:c16="http://schemas.microsoft.com/office/drawing/2014/chart" uri="{C3380CC4-5D6E-409C-BE32-E72D297353CC}">
              <c16:uniqueId val="{00000001-728F-4872-9026-5CDCB7BD1F9D}"/>
            </c:ext>
          </c:extLst>
        </c:ser>
        <c:ser>
          <c:idx val="2"/>
          <c:order val="2"/>
          <c:tx>
            <c:strRef>
              <c:f>NationPivot!$D$3</c:f>
              <c:strCache>
                <c:ptCount val="1"/>
                <c:pt idx="0">
                  <c:v>Sum of Robbery</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NationPivot!$A$4:$A$23</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NationPivot!$D$4:$D$23</c:f>
              <c:numCache>
                <c:formatCode>#,##0.00;[Red]#,##0.00</c:formatCode>
                <c:ptCount val="20"/>
                <c:pt idx="0">
                  <c:v>498534</c:v>
                </c:pt>
                <c:pt idx="1">
                  <c:v>447186</c:v>
                </c:pt>
                <c:pt idx="2">
                  <c:v>409371</c:v>
                </c:pt>
                <c:pt idx="3">
                  <c:v>408016</c:v>
                </c:pt>
                <c:pt idx="4">
                  <c:v>423557</c:v>
                </c:pt>
                <c:pt idx="5">
                  <c:v>420806</c:v>
                </c:pt>
                <c:pt idx="6">
                  <c:v>414235</c:v>
                </c:pt>
                <c:pt idx="7">
                  <c:v>401470</c:v>
                </c:pt>
                <c:pt idx="8">
                  <c:v>417438</c:v>
                </c:pt>
                <c:pt idx="9">
                  <c:v>449246</c:v>
                </c:pt>
                <c:pt idx="10">
                  <c:v>447324</c:v>
                </c:pt>
                <c:pt idx="11">
                  <c:v>443563</c:v>
                </c:pt>
                <c:pt idx="12">
                  <c:v>408742</c:v>
                </c:pt>
                <c:pt idx="13">
                  <c:v>369089</c:v>
                </c:pt>
                <c:pt idx="14">
                  <c:v>354746</c:v>
                </c:pt>
                <c:pt idx="15">
                  <c:v>355051</c:v>
                </c:pt>
                <c:pt idx="16">
                  <c:v>345093</c:v>
                </c:pt>
                <c:pt idx="17">
                  <c:v>322905</c:v>
                </c:pt>
                <c:pt idx="18">
                  <c:v>328109</c:v>
                </c:pt>
                <c:pt idx="19">
                  <c:v>332198</c:v>
                </c:pt>
              </c:numCache>
            </c:numRef>
          </c:val>
          <c:smooth val="0"/>
          <c:extLst>
            <c:ext xmlns:c16="http://schemas.microsoft.com/office/drawing/2014/chart" uri="{C3380CC4-5D6E-409C-BE32-E72D297353CC}">
              <c16:uniqueId val="{00000002-728F-4872-9026-5CDCB7BD1F9D}"/>
            </c:ext>
          </c:extLst>
        </c:ser>
        <c:ser>
          <c:idx val="3"/>
          <c:order val="3"/>
          <c:tx>
            <c:strRef>
              <c:f>NationPivot!$E$3</c:f>
              <c:strCache>
                <c:ptCount val="1"/>
                <c:pt idx="0">
                  <c:v>Sum of Aggravated  assault</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NationPivot!$A$4:$A$23</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NationPivot!$E$4:$E$23</c:f>
              <c:numCache>
                <c:formatCode>#,##0.00;[Red]#,##0.00</c:formatCode>
                <c:ptCount val="20"/>
                <c:pt idx="0">
                  <c:v>1023201</c:v>
                </c:pt>
                <c:pt idx="1">
                  <c:v>976583</c:v>
                </c:pt>
                <c:pt idx="2">
                  <c:v>911740</c:v>
                </c:pt>
                <c:pt idx="3">
                  <c:v>911706</c:v>
                </c:pt>
                <c:pt idx="4">
                  <c:v>909023</c:v>
                </c:pt>
                <c:pt idx="5">
                  <c:v>891407</c:v>
                </c:pt>
                <c:pt idx="6">
                  <c:v>859030</c:v>
                </c:pt>
                <c:pt idx="7">
                  <c:v>847381</c:v>
                </c:pt>
                <c:pt idx="8">
                  <c:v>862220</c:v>
                </c:pt>
                <c:pt idx="9">
                  <c:v>874096</c:v>
                </c:pt>
                <c:pt idx="10">
                  <c:v>866358</c:v>
                </c:pt>
                <c:pt idx="11">
                  <c:v>843683</c:v>
                </c:pt>
                <c:pt idx="12">
                  <c:v>812514</c:v>
                </c:pt>
                <c:pt idx="13">
                  <c:v>781844</c:v>
                </c:pt>
                <c:pt idx="14">
                  <c:v>752423</c:v>
                </c:pt>
                <c:pt idx="15">
                  <c:v>762009</c:v>
                </c:pt>
                <c:pt idx="16">
                  <c:v>726777</c:v>
                </c:pt>
                <c:pt idx="17">
                  <c:v>731089</c:v>
                </c:pt>
                <c:pt idx="18">
                  <c:v>764057</c:v>
                </c:pt>
                <c:pt idx="19">
                  <c:v>803007</c:v>
                </c:pt>
              </c:numCache>
            </c:numRef>
          </c:val>
          <c:smooth val="0"/>
          <c:extLst>
            <c:ext xmlns:c16="http://schemas.microsoft.com/office/drawing/2014/chart" uri="{C3380CC4-5D6E-409C-BE32-E72D297353CC}">
              <c16:uniqueId val="{00000003-728F-4872-9026-5CDCB7BD1F9D}"/>
            </c:ext>
          </c:extLst>
        </c:ser>
        <c:ser>
          <c:idx val="4"/>
          <c:order val="4"/>
          <c:tx>
            <c:strRef>
              <c:f>NationPivot!$F$3</c:f>
              <c:strCache>
                <c:ptCount val="1"/>
                <c:pt idx="0">
                  <c:v>Sum of Rape (legacy  definition4)</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NationPivot!$A$4:$A$23</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NationPivot!$F$4:$F$23</c:f>
              <c:numCache>
                <c:formatCode>General</c:formatCode>
                <c:ptCount val="20"/>
                <c:pt idx="0">
                  <c:v>96153</c:v>
                </c:pt>
                <c:pt idx="1">
                  <c:v>93144</c:v>
                </c:pt>
                <c:pt idx="2">
                  <c:v>89411</c:v>
                </c:pt>
                <c:pt idx="3">
                  <c:v>90178</c:v>
                </c:pt>
                <c:pt idx="4">
                  <c:v>90863</c:v>
                </c:pt>
                <c:pt idx="5">
                  <c:v>95235</c:v>
                </c:pt>
                <c:pt idx="6">
                  <c:v>93883</c:v>
                </c:pt>
                <c:pt idx="7">
                  <c:v>95089</c:v>
                </c:pt>
                <c:pt idx="8">
                  <c:v>94347</c:v>
                </c:pt>
                <c:pt idx="9">
                  <c:v>94472</c:v>
                </c:pt>
                <c:pt idx="10">
                  <c:v>92160</c:v>
                </c:pt>
                <c:pt idx="11">
                  <c:v>90750</c:v>
                </c:pt>
                <c:pt idx="12">
                  <c:v>89241</c:v>
                </c:pt>
                <c:pt idx="13">
                  <c:v>85593</c:v>
                </c:pt>
                <c:pt idx="14">
                  <c:v>84175</c:v>
                </c:pt>
                <c:pt idx="15">
                  <c:v>85141</c:v>
                </c:pt>
                <c:pt idx="16">
                  <c:v>82109</c:v>
                </c:pt>
                <c:pt idx="17">
                  <c:v>84864</c:v>
                </c:pt>
                <c:pt idx="18">
                  <c:v>91261</c:v>
                </c:pt>
                <c:pt idx="19">
                  <c:v>95730</c:v>
                </c:pt>
              </c:numCache>
            </c:numRef>
          </c:val>
          <c:smooth val="0"/>
          <c:extLst>
            <c:ext xmlns:c16="http://schemas.microsoft.com/office/drawing/2014/chart" uri="{C3380CC4-5D6E-409C-BE32-E72D297353CC}">
              <c16:uniqueId val="{00000004-728F-4872-9026-5CDCB7BD1F9D}"/>
            </c:ext>
          </c:extLst>
        </c:ser>
        <c:ser>
          <c:idx val="5"/>
          <c:order val="5"/>
          <c:tx>
            <c:strRef>
              <c:f>NationPivot!$G$3</c:f>
              <c:strCache>
                <c:ptCount val="1"/>
                <c:pt idx="0">
                  <c:v>Sum of Rape (revised  definition3)</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NationPivot!$A$4:$A$23</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NationPivot!$G$4:$G$23</c:f>
              <c:numCache>
                <c:formatCode>General</c:formatCode>
                <c:ptCount val="20"/>
                <c:pt idx="16">
                  <c:v>113695</c:v>
                </c:pt>
                <c:pt idx="17">
                  <c:v>118027</c:v>
                </c:pt>
                <c:pt idx="18">
                  <c:v>126134</c:v>
                </c:pt>
                <c:pt idx="19">
                  <c:v>130603</c:v>
                </c:pt>
              </c:numCache>
            </c:numRef>
          </c:val>
          <c:smooth val="0"/>
          <c:extLst>
            <c:ext xmlns:c16="http://schemas.microsoft.com/office/drawing/2014/chart" uri="{C3380CC4-5D6E-409C-BE32-E72D297353CC}">
              <c16:uniqueId val="{00000005-728F-4872-9026-5CDCB7BD1F9D}"/>
            </c:ext>
          </c:extLst>
        </c:ser>
        <c:ser>
          <c:idx val="6"/>
          <c:order val="6"/>
          <c:tx>
            <c:strRef>
              <c:f>NationPivot!$H$3</c:f>
              <c:strCache>
                <c:ptCount val="1"/>
                <c:pt idx="0">
                  <c:v>Sum of Property  crime</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cat>
            <c:strRef>
              <c:f>NationPivot!$A$4:$A$23</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NationPivot!$H$4:$H$23</c:f>
              <c:numCache>
                <c:formatCode>#,##0.00;[Red]#,##0.00</c:formatCode>
                <c:ptCount val="20"/>
                <c:pt idx="0">
                  <c:v>11558475</c:v>
                </c:pt>
                <c:pt idx="1">
                  <c:v>10951827</c:v>
                </c:pt>
                <c:pt idx="2">
                  <c:v>10208334</c:v>
                </c:pt>
                <c:pt idx="3">
                  <c:v>10182584</c:v>
                </c:pt>
                <c:pt idx="4">
                  <c:v>10437189</c:v>
                </c:pt>
                <c:pt idx="5">
                  <c:v>10455277</c:v>
                </c:pt>
                <c:pt idx="6">
                  <c:v>10442862</c:v>
                </c:pt>
                <c:pt idx="7">
                  <c:v>10319386</c:v>
                </c:pt>
                <c:pt idx="8">
                  <c:v>10174754</c:v>
                </c:pt>
                <c:pt idx="9">
                  <c:v>10019601</c:v>
                </c:pt>
                <c:pt idx="10">
                  <c:v>9882212</c:v>
                </c:pt>
                <c:pt idx="11">
                  <c:v>9774152</c:v>
                </c:pt>
                <c:pt idx="12">
                  <c:v>9337060</c:v>
                </c:pt>
                <c:pt idx="13">
                  <c:v>9112625</c:v>
                </c:pt>
                <c:pt idx="14">
                  <c:v>9052743</c:v>
                </c:pt>
                <c:pt idx="15">
                  <c:v>9001992</c:v>
                </c:pt>
                <c:pt idx="16">
                  <c:v>8651892</c:v>
                </c:pt>
                <c:pt idx="17">
                  <c:v>8209010</c:v>
                </c:pt>
                <c:pt idx="18">
                  <c:v>8024115</c:v>
                </c:pt>
                <c:pt idx="19">
                  <c:v>7919035</c:v>
                </c:pt>
              </c:numCache>
            </c:numRef>
          </c:val>
          <c:smooth val="0"/>
          <c:extLst>
            <c:ext xmlns:c16="http://schemas.microsoft.com/office/drawing/2014/chart" uri="{C3380CC4-5D6E-409C-BE32-E72D297353CC}">
              <c16:uniqueId val="{00000006-728F-4872-9026-5CDCB7BD1F9D}"/>
            </c:ext>
          </c:extLst>
        </c:ser>
        <c:ser>
          <c:idx val="7"/>
          <c:order val="7"/>
          <c:tx>
            <c:strRef>
              <c:f>NationPivot!$I$3</c:f>
              <c:strCache>
                <c:ptCount val="1"/>
                <c:pt idx="0">
                  <c:v>Sum of Burglary</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NationPivot!$A$4:$A$23</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NationPivot!$I$4:$I$23</c:f>
              <c:numCache>
                <c:formatCode>#,##0.00;[Red]#,##0.00</c:formatCode>
                <c:ptCount val="20"/>
                <c:pt idx="0">
                  <c:v>2460526</c:v>
                </c:pt>
                <c:pt idx="1">
                  <c:v>2332735</c:v>
                </c:pt>
                <c:pt idx="2">
                  <c:v>2100739</c:v>
                </c:pt>
                <c:pt idx="3">
                  <c:v>2050992</c:v>
                </c:pt>
                <c:pt idx="4">
                  <c:v>2116531</c:v>
                </c:pt>
                <c:pt idx="5">
                  <c:v>2151252</c:v>
                </c:pt>
                <c:pt idx="6">
                  <c:v>2154834</c:v>
                </c:pt>
                <c:pt idx="7">
                  <c:v>2144446</c:v>
                </c:pt>
                <c:pt idx="8">
                  <c:v>2155448</c:v>
                </c:pt>
                <c:pt idx="9">
                  <c:v>2194993</c:v>
                </c:pt>
                <c:pt idx="10">
                  <c:v>2190198</c:v>
                </c:pt>
                <c:pt idx="11">
                  <c:v>2228887</c:v>
                </c:pt>
                <c:pt idx="12">
                  <c:v>2203313</c:v>
                </c:pt>
                <c:pt idx="13">
                  <c:v>2168459</c:v>
                </c:pt>
                <c:pt idx="14">
                  <c:v>2185140</c:v>
                </c:pt>
                <c:pt idx="15">
                  <c:v>2109932</c:v>
                </c:pt>
                <c:pt idx="16">
                  <c:v>1932139</c:v>
                </c:pt>
                <c:pt idx="17">
                  <c:v>1713153</c:v>
                </c:pt>
                <c:pt idx="18">
                  <c:v>1587564</c:v>
                </c:pt>
                <c:pt idx="19">
                  <c:v>1515096</c:v>
                </c:pt>
              </c:numCache>
            </c:numRef>
          </c:val>
          <c:smooth val="0"/>
          <c:extLst>
            <c:ext xmlns:c16="http://schemas.microsoft.com/office/drawing/2014/chart" uri="{C3380CC4-5D6E-409C-BE32-E72D297353CC}">
              <c16:uniqueId val="{00000007-728F-4872-9026-5CDCB7BD1F9D}"/>
            </c:ext>
          </c:extLst>
        </c:ser>
        <c:ser>
          <c:idx val="8"/>
          <c:order val="8"/>
          <c:tx>
            <c:strRef>
              <c:f>NationPivot!$J$3</c:f>
              <c:strCache>
                <c:ptCount val="1"/>
                <c:pt idx="0">
                  <c:v>Sum of Larceny- theft</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cat>
            <c:strRef>
              <c:f>NationPivot!$A$4:$A$23</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NationPivot!$J$4:$J$23</c:f>
              <c:numCache>
                <c:formatCode>#,##0.00;[Red]#,##0.00</c:formatCode>
                <c:ptCount val="20"/>
                <c:pt idx="0">
                  <c:v>7743760</c:v>
                </c:pt>
                <c:pt idx="1">
                  <c:v>7376311</c:v>
                </c:pt>
                <c:pt idx="2">
                  <c:v>6955520</c:v>
                </c:pt>
                <c:pt idx="3">
                  <c:v>6971590</c:v>
                </c:pt>
                <c:pt idx="4">
                  <c:v>7092267</c:v>
                </c:pt>
                <c:pt idx="5">
                  <c:v>7057379</c:v>
                </c:pt>
                <c:pt idx="6">
                  <c:v>7026802</c:v>
                </c:pt>
                <c:pt idx="7">
                  <c:v>6937089</c:v>
                </c:pt>
                <c:pt idx="8">
                  <c:v>6783447</c:v>
                </c:pt>
                <c:pt idx="9">
                  <c:v>6626363</c:v>
                </c:pt>
                <c:pt idx="10">
                  <c:v>6591542</c:v>
                </c:pt>
                <c:pt idx="11">
                  <c:v>6586206</c:v>
                </c:pt>
                <c:pt idx="12">
                  <c:v>6338095</c:v>
                </c:pt>
                <c:pt idx="13">
                  <c:v>6204601</c:v>
                </c:pt>
                <c:pt idx="14">
                  <c:v>6151095</c:v>
                </c:pt>
                <c:pt idx="15">
                  <c:v>6168874</c:v>
                </c:pt>
                <c:pt idx="16">
                  <c:v>6019465</c:v>
                </c:pt>
                <c:pt idx="17">
                  <c:v>5809054</c:v>
                </c:pt>
                <c:pt idx="18">
                  <c:v>5723488</c:v>
                </c:pt>
                <c:pt idx="19">
                  <c:v>5638455</c:v>
                </c:pt>
              </c:numCache>
            </c:numRef>
          </c:val>
          <c:smooth val="0"/>
          <c:extLst>
            <c:ext xmlns:c16="http://schemas.microsoft.com/office/drawing/2014/chart" uri="{C3380CC4-5D6E-409C-BE32-E72D297353CC}">
              <c16:uniqueId val="{00000002-DA39-4E41-8E8F-D842289ACB5D}"/>
            </c:ext>
          </c:extLst>
        </c:ser>
        <c:ser>
          <c:idx val="9"/>
          <c:order val="9"/>
          <c:tx>
            <c:strRef>
              <c:f>NationPivot!$K$3</c:f>
              <c:strCache>
                <c:ptCount val="1"/>
                <c:pt idx="0">
                  <c:v>Sum of Motor  vehicle  theft</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NationPivot!$A$4:$A$23</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NationPivot!$K$4:$K$23</c:f>
              <c:numCache>
                <c:formatCode>#,##0.00;[Red]#,##0.00</c:formatCode>
                <c:ptCount val="20"/>
                <c:pt idx="0">
                  <c:v>1354189</c:v>
                </c:pt>
                <c:pt idx="1">
                  <c:v>1242781</c:v>
                </c:pt>
                <c:pt idx="2">
                  <c:v>1152075</c:v>
                </c:pt>
                <c:pt idx="3">
                  <c:v>1160002</c:v>
                </c:pt>
                <c:pt idx="4">
                  <c:v>1228391</c:v>
                </c:pt>
                <c:pt idx="5">
                  <c:v>1246646</c:v>
                </c:pt>
                <c:pt idx="6">
                  <c:v>1261226</c:v>
                </c:pt>
                <c:pt idx="7">
                  <c:v>1237851</c:v>
                </c:pt>
                <c:pt idx="8">
                  <c:v>1235859</c:v>
                </c:pt>
                <c:pt idx="9">
                  <c:v>1198245</c:v>
                </c:pt>
                <c:pt idx="10">
                  <c:v>1100472</c:v>
                </c:pt>
                <c:pt idx="11">
                  <c:v>959059</c:v>
                </c:pt>
                <c:pt idx="12">
                  <c:v>795652</c:v>
                </c:pt>
                <c:pt idx="13">
                  <c:v>739565</c:v>
                </c:pt>
                <c:pt idx="14">
                  <c:v>716508</c:v>
                </c:pt>
                <c:pt idx="15">
                  <c:v>723186</c:v>
                </c:pt>
                <c:pt idx="16">
                  <c:v>700288</c:v>
                </c:pt>
                <c:pt idx="17">
                  <c:v>686803</c:v>
                </c:pt>
                <c:pt idx="18">
                  <c:v>713063</c:v>
                </c:pt>
                <c:pt idx="19">
                  <c:v>765484</c:v>
                </c:pt>
              </c:numCache>
            </c:numRef>
          </c:val>
          <c:smooth val="0"/>
          <c:extLst>
            <c:ext xmlns:c16="http://schemas.microsoft.com/office/drawing/2014/chart" uri="{C3380CC4-5D6E-409C-BE32-E72D297353CC}">
              <c16:uniqueId val="{00000003-DA39-4E41-8E8F-D842289ACB5D}"/>
            </c:ext>
          </c:extLst>
        </c:ser>
        <c:dLbls>
          <c:showLegendKey val="0"/>
          <c:showVal val="0"/>
          <c:showCatName val="0"/>
          <c:showSerName val="0"/>
          <c:showPercent val="0"/>
          <c:showBubbleSize val="0"/>
        </c:dLbls>
        <c:marker val="1"/>
        <c:smooth val="0"/>
        <c:axId val="841406264"/>
        <c:axId val="841405280"/>
      </c:lineChart>
      <c:catAx>
        <c:axId val="841406264"/>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Years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405280"/>
        <c:crosses val="autoZero"/>
        <c:auto val="1"/>
        <c:lblAlgn val="ctr"/>
        <c:lblOffset val="100"/>
        <c:noMultiLvlLbl val="0"/>
      </c:catAx>
      <c:valAx>
        <c:axId val="84140528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Number</a:t>
                </a:r>
                <a:r>
                  <a:rPr lang="en-US" baseline="0"/>
                  <a:t> of Incidents</a:t>
                </a:r>
                <a:endParaRPr lang="en-US"/>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41406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[FBI Crime Data.xlsm]NationPivot!PivotTable2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Total Crime By Year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
        <c:idx val="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pivotFmt>
    </c:pivotFmts>
    <c:plotArea>
      <c:layout/>
      <c:lineChart>
        <c:grouping val="standard"/>
        <c:varyColors val="0"/>
        <c:ser>
          <c:idx val="0"/>
          <c:order val="0"/>
          <c:tx>
            <c:strRef>
              <c:f>NationPivot!$B$52</c:f>
              <c:strCache>
                <c:ptCount val="1"/>
                <c:pt idx="0">
                  <c:v>Sum of Total(Legacy def)</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NationPivot!$A$53:$A$72</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NationPivot!$B$53:$B$72</c:f>
              <c:numCache>
                <c:formatCode>#,##0;[Red]#,##0</c:formatCode>
                <c:ptCount val="20"/>
                <c:pt idx="0">
                  <c:v>26389142</c:v>
                </c:pt>
                <c:pt idx="1">
                  <c:v>24971428</c:v>
                </c:pt>
                <c:pt idx="2">
                  <c:v>23268756</c:v>
                </c:pt>
                <c:pt idx="3">
                  <c:v>23216140</c:v>
                </c:pt>
                <c:pt idx="4">
                  <c:v>23753338</c:v>
                </c:pt>
                <c:pt idx="5">
                  <c:v>23757908</c:v>
                </c:pt>
                <c:pt idx="6">
                  <c:v>23653076</c:v>
                </c:pt>
                <c:pt idx="7">
                  <c:v>23358948</c:v>
                </c:pt>
                <c:pt idx="8">
                  <c:v>23130998</c:v>
                </c:pt>
                <c:pt idx="9">
                  <c:v>22909448</c:v>
                </c:pt>
                <c:pt idx="10">
                  <c:v>22610364</c:v>
                </c:pt>
                <c:pt idx="11">
                  <c:v>22337226</c:v>
                </c:pt>
                <c:pt idx="12">
                  <c:v>21325912</c:v>
                </c:pt>
                <c:pt idx="13">
                  <c:v>20727746</c:v>
                </c:pt>
                <c:pt idx="14">
                  <c:v>20517496</c:v>
                </c:pt>
                <c:pt idx="15">
                  <c:v>20438098</c:v>
                </c:pt>
                <c:pt idx="16">
                  <c:v>19640380</c:v>
                </c:pt>
                <c:pt idx="17">
                  <c:v>18724064</c:v>
                </c:pt>
                <c:pt idx="18">
                  <c:v>18446850</c:v>
                </c:pt>
                <c:pt idx="19">
                  <c:v>18334440</c:v>
                </c:pt>
              </c:numCache>
            </c:numRef>
          </c:val>
          <c:smooth val="0"/>
          <c:extLst>
            <c:ext xmlns:c16="http://schemas.microsoft.com/office/drawing/2014/chart" uri="{C3380CC4-5D6E-409C-BE32-E72D297353CC}">
              <c16:uniqueId val="{00000000-C968-49E7-A3F3-C80746810A50}"/>
            </c:ext>
          </c:extLst>
        </c:ser>
        <c:ser>
          <c:idx val="1"/>
          <c:order val="1"/>
          <c:tx>
            <c:strRef>
              <c:f>NationPivot!$C$52</c:f>
              <c:strCache>
                <c:ptCount val="1"/>
                <c:pt idx="0">
                  <c:v>Sum of Total(Revised)</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NationPivot!$A$53:$A$72</c:f>
              <c:strCache>
                <c:ptCount val="20"/>
                <c:pt idx="0">
                  <c:v>1997</c:v>
                </c:pt>
                <c:pt idx="1">
                  <c:v>1998</c:v>
                </c:pt>
                <c:pt idx="2">
                  <c:v>1999</c:v>
                </c:pt>
                <c:pt idx="3">
                  <c:v>2000</c:v>
                </c:pt>
                <c:pt idx="4">
                  <c:v>2001</c:v>
                </c:pt>
                <c:pt idx="5">
                  <c:v>2002</c:v>
                </c:pt>
                <c:pt idx="6">
                  <c:v>2003</c:v>
                </c:pt>
                <c:pt idx="7">
                  <c:v>2004</c:v>
                </c:pt>
                <c:pt idx="8">
                  <c:v>2005</c:v>
                </c:pt>
                <c:pt idx="9">
                  <c:v>2006</c:v>
                </c:pt>
                <c:pt idx="10">
                  <c:v>2007</c:v>
                </c:pt>
                <c:pt idx="11">
                  <c:v>2008</c:v>
                </c:pt>
                <c:pt idx="12">
                  <c:v>2009</c:v>
                </c:pt>
                <c:pt idx="13">
                  <c:v>2010</c:v>
                </c:pt>
                <c:pt idx="14">
                  <c:v>2011</c:v>
                </c:pt>
                <c:pt idx="15">
                  <c:v>2012</c:v>
                </c:pt>
                <c:pt idx="16">
                  <c:v>2013</c:v>
                </c:pt>
                <c:pt idx="17">
                  <c:v>2014</c:v>
                </c:pt>
                <c:pt idx="18">
                  <c:v>2015</c:v>
                </c:pt>
                <c:pt idx="19">
                  <c:v>2016</c:v>
                </c:pt>
              </c:strCache>
            </c:strRef>
          </c:cat>
          <c:val>
            <c:numRef>
              <c:f>NationPivot!$C$53:$C$72</c:f>
              <c:numCache>
                <c:formatCode>#,##0;[Red]#,##0</c:formatCode>
                <c:ptCount val="20"/>
                <c:pt idx="0">
                  <c:v>26292989</c:v>
                </c:pt>
                <c:pt idx="1">
                  <c:v>24878284</c:v>
                </c:pt>
                <c:pt idx="2">
                  <c:v>23179345</c:v>
                </c:pt>
                <c:pt idx="3">
                  <c:v>23125962</c:v>
                </c:pt>
                <c:pt idx="4">
                  <c:v>23662475</c:v>
                </c:pt>
                <c:pt idx="5">
                  <c:v>23662673</c:v>
                </c:pt>
                <c:pt idx="6">
                  <c:v>23559193</c:v>
                </c:pt>
                <c:pt idx="7">
                  <c:v>23263859</c:v>
                </c:pt>
                <c:pt idx="8">
                  <c:v>23036651</c:v>
                </c:pt>
                <c:pt idx="9">
                  <c:v>22814976</c:v>
                </c:pt>
                <c:pt idx="10">
                  <c:v>22518204</c:v>
                </c:pt>
                <c:pt idx="11">
                  <c:v>22246476</c:v>
                </c:pt>
                <c:pt idx="12">
                  <c:v>21236671</c:v>
                </c:pt>
                <c:pt idx="13">
                  <c:v>20642153</c:v>
                </c:pt>
                <c:pt idx="14">
                  <c:v>20433321</c:v>
                </c:pt>
                <c:pt idx="15">
                  <c:v>20352957</c:v>
                </c:pt>
                <c:pt idx="16">
                  <c:v>19671966</c:v>
                </c:pt>
                <c:pt idx="17">
                  <c:v>18757227</c:v>
                </c:pt>
                <c:pt idx="18">
                  <c:v>18481723</c:v>
                </c:pt>
                <c:pt idx="19">
                  <c:v>18369313</c:v>
                </c:pt>
              </c:numCache>
            </c:numRef>
          </c:val>
          <c:smooth val="0"/>
          <c:extLst>
            <c:ext xmlns:c16="http://schemas.microsoft.com/office/drawing/2014/chart" uri="{C3380CC4-5D6E-409C-BE32-E72D297353CC}">
              <c16:uniqueId val="{00000001-C968-49E7-A3F3-C80746810A50}"/>
            </c:ext>
          </c:extLst>
        </c:ser>
        <c:dLbls>
          <c:showLegendKey val="0"/>
          <c:showVal val="0"/>
          <c:showCatName val="0"/>
          <c:showSerName val="0"/>
          <c:showPercent val="0"/>
          <c:showBubbleSize val="0"/>
        </c:dLbls>
        <c:marker val="1"/>
        <c:smooth val="0"/>
        <c:axId val="769102264"/>
        <c:axId val="769102592"/>
      </c:lineChart>
      <c:catAx>
        <c:axId val="769102264"/>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Years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9102592"/>
        <c:crosses val="autoZero"/>
        <c:auto val="1"/>
        <c:lblAlgn val="ctr"/>
        <c:lblOffset val="100"/>
        <c:noMultiLvlLbl val="0"/>
      </c:catAx>
      <c:valAx>
        <c:axId val="769102592"/>
        <c:scaling>
          <c:orientation val="minMax"/>
          <c:min val="18000000"/>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Total Crime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9102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[FBI Crime Data.xlsm]Geopivot!Crimes By Region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Crimes</a:t>
            </a:r>
            <a:r>
              <a:rPr lang="en-US" baseline="0"/>
              <a: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s>
    <c:plotArea>
      <c:layout/>
      <c:barChart>
        <c:barDir val="col"/>
        <c:grouping val="clustered"/>
        <c:varyColors val="0"/>
        <c:ser>
          <c:idx val="0"/>
          <c:order val="0"/>
          <c:tx>
            <c:strRef>
              <c:f>Geopivot!$B$3</c:f>
              <c:strCache>
                <c:ptCount val="1"/>
                <c:pt idx="0">
                  <c:v>Sum of Violent crime</c:v>
                </c:pt>
              </c:strCache>
            </c:strRef>
          </c:tx>
          <c:spPr>
            <a:solidFill>
              <a:schemeClr val="accent1"/>
            </a:solidFill>
            <a:ln>
              <a:noFill/>
            </a:ln>
            <a:effectLst/>
          </c:spPr>
          <c:invertIfNegative val="0"/>
          <c:cat>
            <c:strRef>
              <c:f>Geopivot!$A$4:$A$9</c:f>
              <c:strCache>
                <c:ptCount val="5"/>
                <c:pt idx="0">
                  <c:v>Midwest</c:v>
                </c:pt>
                <c:pt idx="1">
                  <c:v>Northeast</c:v>
                </c:pt>
                <c:pt idx="2">
                  <c:v>Puerto Rico</c:v>
                </c:pt>
                <c:pt idx="3">
                  <c:v>South  </c:v>
                </c:pt>
                <c:pt idx="4">
                  <c:v>West</c:v>
                </c:pt>
              </c:strCache>
            </c:strRef>
          </c:cat>
          <c:val>
            <c:numRef>
              <c:f>Geopivot!$B$4:$B$9</c:f>
              <c:numCache>
                <c:formatCode>#,##0;[Red]#,##0</c:formatCode>
                <c:ptCount val="5"/>
                <c:pt idx="0">
                  <c:v>500002</c:v>
                </c:pt>
                <c:pt idx="1">
                  <c:v>358718</c:v>
                </c:pt>
                <c:pt idx="2">
                  <c:v>15272</c:v>
                </c:pt>
                <c:pt idx="3">
                  <c:v>1036042</c:v>
                </c:pt>
                <c:pt idx="4">
                  <c:v>622479</c:v>
                </c:pt>
              </c:numCache>
            </c:numRef>
          </c:val>
          <c:extLst>
            <c:ext xmlns:c16="http://schemas.microsoft.com/office/drawing/2014/chart" uri="{C3380CC4-5D6E-409C-BE32-E72D297353CC}">
              <c16:uniqueId val="{00000000-5425-49B0-A194-8552ACBDE711}"/>
            </c:ext>
          </c:extLst>
        </c:ser>
        <c:ser>
          <c:idx val="1"/>
          <c:order val="1"/>
          <c:tx>
            <c:strRef>
              <c:f>Geopivot!$C$3</c:f>
              <c:strCache>
                <c:ptCount val="1"/>
                <c:pt idx="0">
                  <c:v>Sum of Murder and  nonnegligent  manslaughter</c:v>
                </c:pt>
              </c:strCache>
            </c:strRef>
          </c:tx>
          <c:spPr>
            <a:solidFill>
              <a:schemeClr val="accent2"/>
            </a:solidFill>
            <a:ln>
              <a:noFill/>
            </a:ln>
            <a:effectLst/>
          </c:spPr>
          <c:invertIfNegative val="0"/>
          <c:cat>
            <c:strRef>
              <c:f>Geopivot!$A$4:$A$9</c:f>
              <c:strCache>
                <c:ptCount val="5"/>
                <c:pt idx="0">
                  <c:v>Midwest</c:v>
                </c:pt>
                <c:pt idx="1">
                  <c:v>Northeast</c:v>
                </c:pt>
                <c:pt idx="2">
                  <c:v>Puerto Rico</c:v>
                </c:pt>
                <c:pt idx="3">
                  <c:v>South  </c:v>
                </c:pt>
                <c:pt idx="4">
                  <c:v>West</c:v>
                </c:pt>
              </c:strCache>
            </c:strRef>
          </c:cat>
          <c:val>
            <c:numRef>
              <c:f>Geopivot!$C$4:$C$9</c:f>
              <c:numCache>
                <c:formatCode>#,##0;[Red]#,##0</c:formatCode>
                <c:ptCount val="5"/>
                <c:pt idx="0">
                  <c:v>7307</c:v>
                </c:pt>
                <c:pt idx="1">
                  <c:v>3922</c:v>
                </c:pt>
                <c:pt idx="2">
                  <c:v>1263</c:v>
                </c:pt>
                <c:pt idx="3">
                  <c:v>15261</c:v>
                </c:pt>
                <c:pt idx="4">
                  <c:v>6643</c:v>
                </c:pt>
              </c:numCache>
            </c:numRef>
          </c:val>
          <c:extLst>
            <c:ext xmlns:c16="http://schemas.microsoft.com/office/drawing/2014/chart" uri="{C3380CC4-5D6E-409C-BE32-E72D297353CC}">
              <c16:uniqueId val="{00000001-5425-49B0-A194-8552ACBDE711}"/>
            </c:ext>
          </c:extLst>
        </c:ser>
        <c:ser>
          <c:idx val="2"/>
          <c:order val="2"/>
          <c:tx>
            <c:strRef>
              <c:f>Geopivot!$D$3</c:f>
              <c:strCache>
                <c:ptCount val="1"/>
                <c:pt idx="0">
                  <c:v>Sum of Rape (revised definition)</c:v>
                </c:pt>
              </c:strCache>
            </c:strRef>
          </c:tx>
          <c:spPr>
            <a:solidFill>
              <a:schemeClr val="accent3"/>
            </a:solidFill>
            <a:ln>
              <a:noFill/>
            </a:ln>
            <a:effectLst/>
          </c:spPr>
          <c:invertIfNegative val="0"/>
          <c:cat>
            <c:strRef>
              <c:f>Geopivot!$A$4:$A$9</c:f>
              <c:strCache>
                <c:ptCount val="5"/>
                <c:pt idx="0">
                  <c:v>Midwest</c:v>
                </c:pt>
                <c:pt idx="1">
                  <c:v>Northeast</c:v>
                </c:pt>
                <c:pt idx="2">
                  <c:v>Puerto Rico</c:v>
                </c:pt>
                <c:pt idx="3">
                  <c:v>South  </c:v>
                </c:pt>
                <c:pt idx="4">
                  <c:v>West</c:v>
                </c:pt>
              </c:strCache>
            </c:strRef>
          </c:cat>
          <c:val>
            <c:numRef>
              <c:f>Geopivot!$D$4:$D$9</c:f>
              <c:numCache>
                <c:formatCode>#,##0;[Red]#,##0</c:formatCode>
                <c:ptCount val="5"/>
                <c:pt idx="0">
                  <c:v>62235</c:v>
                </c:pt>
                <c:pt idx="1">
                  <c:v>33066</c:v>
                </c:pt>
                <c:pt idx="2">
                  <c:v>334</c:v>
                </c:pt>
                <c:pt idx="3">
                  <c:v>96523</c:v>
                </c:pt>
                <c:pt idx="4">
                  <c:v>64913</c:v>
                </c:pt>
              </c:numCache>
            </c:numRef>
          </c:val>
          <c:extLst>
            <c:ext xmlns:c16="http://schemas.microsoft.com/office/drawing/2014/chart" uri="{C3380CC4-5D6E-409C-BE32-E72D297353CC}">
              <c16:uniqueId val="{00000002-5425-49B0-A194-8552ACBDE711}"/>
            </c:ext>
          </c:extLst>
        </c:ser>
        <c:ser>
          <c:idx val="3"/>
          <c:order val="3"/>
          <c:tx>
            <c:strRef>
              <c:f>Geopivot!$E$3</c:f>
              <c:strCache>
                <c:ptCount val="1"/>
                <c:pt idx="0">
                  <c:v>Sum of Rape (legacy definition)</c:v>
                </c:pt>
              </c:strCache>
            </c:strRef>
          </c:tx>
          <c:spPr>
            <a:solidFill>
              <a:schemeClr val="accent4"/>
            </a:solidFill>
            <a:ln>
              <a:noFill/>
            </a:ln>
            <a:effectLst/>
          </c:spPr>
          <c:invertIfNegative val="0"/>
          <c:cat>
            <c:strRef>
              <c:f>Geopivot!$A$4:$A$9</c:f>
              <c:strCache>
                <c:ptCount val="5"/>
                <c:pt idx="0">
                  <c:v>Midwest</c:v>
                </c:pt>
                <c:pt idx="1">
                  <c:v>Northeast</c:v>
                </c:pt>
                <c:pt idx="2">
                  <c:v>Puerto Rico</c:v>
                </c:pt>
                <c:pt idx="3">
                  <c:v>South  </c:v>
                </c:pt>
                <c:pt idx="4">
                  <c:v>West</c:v>
                </c:pt>
              </c:strCache>
            </c:strRef>
          </c:cat>
          <c:val>
            <c:numRef>
              <c:f>Geopivot!$E$4:$E$9</c:f>
              <c:numCache>
                <c:formatCode>#,##0;[Red]#,##0</c:formatCode>
                <c:ptCount val="5"/>
                <c:pt idx="0">
                  <c:v>45475</c:v>
                </c:pt>
                <c:pt idx="1">
                  <c:v>24131</c:v>
                </c:pt>
                <c:pt idx="2">
                  <c:v>251</c:v>
                </c:pt>
                <c:pt idx="3">
                  <c:v>69829</c:v>
                </c:pt>
                <c:pt idx="4">
                  <c:v>47556</c:v>
                </c:pt>
              </c:numCache>
            </c:numRef>
          </c:val>
          <c:extLst>
            <c:ext xmlns:c16="http://schemas.microsoft.com/office/drawing/2014/chart" uri="{C3380CC4-5D6E-409C-BE32-E72D297353CC}">
              <c16:uniqueId val="{00000003-5425-49B0-A194-8552ACBDE711}"/>
            </c:ext>
          </c:extLst>
        </c:ser>
        <c:ser>
          <c:idx val="4"/>
          <c:order val="4"/>
          <c:tx>
            <c:strRef>
              <c:f>Geopivot!$F$3</c:f>
              <c:strCache>
                <c:ptCount val="1"/>
                <c:pt idx="0">
                  <c:v>Sum of Robbery</c:v>
                </c:pt>
              </c:strCache>
            </c:strRef>
          </c:tx>
          <c:spPr>
            <a:solidFill>
              <a:schemeClr val="accent5"/>
            </a:solidFill>
            <a:ln>
              <a:noFill/>
            </a:ln>
            <a:effectLst/>
          </c:spPr>
          <c:invertIfNegative val="0"/>
          <c:cat>
            <c:strRef>
              <c:f>Geopivot!$A$4:$A$9</c:f>
              <c:strCache>
                <c:ptCount val="5"/>
                <c:pt idx="0">
                  <c:v>Midwest</c:v>
                </c:pt>
                <c:pt idx="1">
                  <c:v>Northeast</c:v>
                </c:pt>
                <c:pt idx="2">
                  <c:v>Puerto Rico</c:v>
                </c:pt>
                <c:pt idx="3">
                  <c:v>South  </c:v>
                </c:pt>
                <c:pt idx="4">
                  <c:v>West</c:v>
                </c:pt>
              </c:strCache>
            </c:strRef>
          </c:cat>
          <c:val>
            <c:numRef>
              <c:f>Geopivot!$F$4:$F$9</c:f>
              <c:numCache>
                <c:formatCode>#,##0;[Red]#,##0</c:formatCode>
                <c:ptCount val="5"/>
                <c:pt idx="0">
                  <c:v>126223</c:v>
                </c:pt>
                <c:pt idx="1">
                  <c:v>109235</c:v>
                </c:pt>
                <c:pt idx="2">
                  <c:v>7271</c:v>
                </c:pt>
                <c:pt idx="3">
                  <c:v>255991</c:v>
                </c:pt>
                <c:pt idx="4">
                  <c:v>168858</c:v>
                </c:pt>
              </c:numCache>
            </c:numRef>
          </c:val>
          <c:extLst>
            <c:ext xmlns:c16="http://schemas.microsoft.com/office/drawing/2014/chart" uri="{C3380CC4-5D6E-409C-BE32-E72D297353CC}">
              <c16:uniqueId val="{00000004-5425-49B0-A194-8552ACBDE711}"/>
            </c:ext>
          </c:extLst>
        </c:ser>
        <c:ser>
          <c:idx val="5"/>
          <c:order val="5"/>
          <c:tx>
            <c:strRef>
              <c:f>Geopivot!$G$3</c:f>
              <c:strCache>
                <c:ptCount val="1"/>
                <c:pt idx="0">
                  <c:v>Sum of Aggravated assault</c:v>
                </c:pt>
              </c:strCache>
            </c:strRef>
          </c:tx>
          <c:spPr>
            <a:solidFill>
              <a:schemeClr val="accent6"/>
            </a:solidFill>
            <a:ln>
              <a:noFill/>
            </a:ln>
            <a:effectLst/>
          </c:spPr>
          <c:invertIfNegative val="0"/>
          <c:cat>
            <c:strRef>
              <c:f>Geopivot!$A$4:$A$9</c:f>
              <c:strCache>
                <c:ptCount val="5"/>
                <c:pt idx="0">
                  <c:v>Midwest</c:v>
                </c:pt>
                <c:pt idx="1">
                  <c:v>Northeast</c:v>
                </c:pt>
                <c:pt idx="2">
                  <c:v>Puerto Rico</c:v>
                </c:pt>
                <c:pt idx="3">
                  <c:v>South  </c:v>
                </c:pt>
                <c:pt idx="4">
                  <c:v>West</c:v>
                </c:pt>
              </c:strCache>
            </c:strRef>
          </c:cat>
          <c:val>
            <c:numRef>
              <c:f>Geopivot!$G$4:$G$9</c:f>
              <c:numCache>
                <c:formatCode>#,##0;[Red]#,##0</c:formatCode>
                <c:ptCount val="5"/>
                <c:pt idx="0">
                  <c:v>304237</c:v>
                </c:pt>
                <c:pt idx="1">
                  <c:v>212495</c:v>
                </c:pt>
                <c:pt idx="2">
                  <c:v>6404</c:v>
                </c:pt>
                <c:pt idx="3">
                  <c:v>668267</c:v>
                </c:pt>
                <c:pt idx="4">
                  <c:v>382065</c:v>
                </c:pt>
              </c:numCache>
            </c:numRef>
          </c:val>
          <c:extLst>
            <c:ext xmlns:c16="http://schemas.microsoft.com/office/drawing/2014/chart" uri="{C3380CC4-5D6E-409C-BE32-E72D297353CC}">
              <c16:uniqueId val="{00000005-5425-49B0-A194-8552ACBDE711}"/>
            </c:ext>
          </c:extLst>
        </c:ser>
        <c:ser>
          <c:idx val="6"/>
          <c:order val="6"/>
          <c:tx>
            <c:strRef>
              <c:f>Geopivot!$H$3</c:f>
              <c:strCache>
                <c:ptCount val="1"/>
                <c:pt idx="0">
                  <c:v>Sum of Property crime</c:v>
                </c:pt>
              </c:strCache>
            </c:strRef>
          </c:tx>
          <c:spPr>
            <a:solidFill>
              <a:schemeClr val="accent1">
                <a:lumMod val="60000"/>
              </a:schemeClr>
            </a:solidFill>
            <a:ln>
              <a:noFill/>
            </a:ln>
            <a:effectLst/>
          </c:spPr>
          <c:invertIfNegative val="0"/>
          <c:cat>
            <c:strRef>
              <c:f>Geopivot!$A$4:$A$9</c:f>
              <c:strCache>
                <c:ptCount val="5"/>
                <c:pt idx="0">
                  <c:v>Midwest</c:v>
                </c:pt>
                <c:pt idx="1">
                  <c:v>Northeast</c:v>
                </c:pt>
                <c:pt idx="2">
                  <c:v>Puerto Rico</c:v>
                </c:pt>
                <c:pt idx="3">
                  <c:v>South  </c:v>
                </c:pt>
                <c:pt idx="4">
                  <c:v>West</c:v>
                </c:pt>
              </c:strCache>
            </c:strRef>
          </c:cat>
          <c:val>
            <c:numRef>
              <c:f>Geopivot!$H$4:$H$9</c:f>
              <c:numCache>
                <c:formatCode>#,##0;[Red]#,##0</c:formatCode>
                <c:ptCount val="5"/>
                <c:pt idx="0">
                  <c:v>3100047</c:v>
                </c:pt>
                <c:pt idx="1">
                  <c:v>1861837</c:v>
                </c:pt>
                <c:pt idx="2">
                  <c:v>72918</c:v>
                </c:pt>
                <c:pt idx="3">
                  <c:v>6737410</c:v>
                </c:pt>
                <c:pt idx="4">
                  <c:v>4243856</c:v>
                </c:pt>
              </c:numCache>
            </c:numRef>
          </c:val>
          <c:extLst>
            <c:ext xmlns:c16="http://schemas.microsoft.com/office/drawing/2014/chart" uri="{C3380CC4-5D6E-409C-BE32-E72D297353CC}">
              <c16:uniqueId val="{00000006-5425-49B0-A194-8552ACBDE711}"/>
            </c:ext>
          </c:extLst>
        </c:ser>
        <c:ser>
          <c:idx val="7"/>
          <c:order val="7"/>
          <c:tx>
            <c:strRef>
              <c:f>Geopivot!$I$3</c:f>
              <c:strCache>
                <c:ptCount val="1"/>
                <c:pt idx="0">
                  <c:v>Sum of Burglary</c:v>
                </c:pt>
              </c:strCache>
            </c:strRef>
          </c:tx>
          <c:spPr>
            <a:solidFill>
              <a:schemeClr val="accent2">
                <a:lumMod val="60000"/>
              </a:schemeClr>
            </a:solidFill>
            <a:ln>
              <a:noFill/>
            </a:ln>
            <a:effectLst/>
          </c:spPr>
          <c:invertIfNegative val="0"/>
          <c:cat>
            <c:strRef>
              <c:f>Geopivot!$A$4:$A$9</c:f>
              <c:strCache>
                <c:ptCount val="5"/>
                <c:pt idx="0">
                  <c:v>Midwest</c:v>
                </c:pt>
                <c:pt idx="1">
                  <c:v>Northeast</c:v>
                </c:pt>
                <c:pt idx="2">
                  <c:v>Puerto Rico</c:v>
                </c:pt>
                <c:pt idx="3">
                  <c:v>South  </c:v>
                </c:pt>
                <c:pt idx="4">
                  <c:v>West</c:v>
                </c:pt>
              </c:strCache>
            </c:strRef>
          </c:cat>
          <c:val>
            <c:numRef>
              <c:f>Geopivot!$I$4:$I$9</c:f>
              <c:numCache>
                <c:formatCode>#,##0;[Red]#,##0</c:formatCode>
                <c:ptCount val="5"/>
                <c:pt idx="0">
                  <c:v>608212</c:v>
                </c:pt>
                <c:pt idx="1">
                  <c:v>300630</c:v>
                </c:pt>
                <c:pt idx="2">
                  <c:v>17401</c:v>
                </c:pt>
                <c:pt idx="3">
                  <c:v>1404066</c:v>
                </c:pt>
                <c:pt idx="4">
                  <c:v>789752</c:v>
                </c:pt>
              </c:numCache>
            </c:numRef>
          </c:val>
          <c:extLst>
            <c:ext xmlns:c16="http://schemas.microsoft.com/office/drawing/2014/chart" uri="{C3380CC4-5D6E-409C-BE32-E72D297353CC}">
              <c16:uniqueId val="{00000007-5425-49B0-A194-8552ACBDE711}"/>
            </c:ext>
          </c:extLst>
        </c:ser>
        <c:ser>
          <c:idx val="8"/>
          <c:order val="8"/>
          <c:tx>
            <c:strRef>
              <c:f>Geopivot!$J$3</c:f>
              <c:strCache>
                <c:ptCount val="1"/>
                <c:pt idx="0">
                  <c:v>Sum of Larceny-theft</c:v>
                </c:pt>
              </c:strCache>
            </c:strRef>
          </c:tx>
          <c:spPr>
            <a:solidFill>
              <a:schemeClr val="accent3">
                <a:lumMod val="60000"/>
              </a:schemeClr>
            </a:solidFill>
            <a:ln>
              <a:noFill/>
            </a:ln>
            <a:effectLst/>
          </c:spPr>
          <c:invertIfNegative val="0"/>
          <c:cat>
            <c:strRef>
              <c:f>Geopivot!$A$4:$A$9</c:f>
              <c:strCache>
                <c:ptCount val="5"/>
                <c:pt idx="0">
                  <c:v>Midwest</c:v>
                </c:pt>
                <c:pt idx="1">
                  <c:v>Northeast</c:v>
                </c:pt>
                <c:pt idx="2">
                  <c:v>Puerto Rico</c:v>
                </c:pt>
                <c:pt idx="3">
                  <c:v>South  </c:v>
                </c:pt>
                <c:pt idx="4">
                  <c:v>West</c:v>
                </c:pt>
              </c:strCache>
            </c:strRef>
          </c:cat>
          <c:val>
            <c:numRef>
              <c:f>Geopivot!$J$4:$J$9</c:f>
              <c:numCache>
                <c:formatCode>#,##0;[Red]#,##0</c:formatCode>
                <c:ptCount val="5"/>
                <c:pt idx="0">
                  <c:v>2238531</c:v>
                </c:pt>
                <c:pt idx="1">
                  <c:v>1446808</c:v>
                </c:pt>
                <c:pt idx="2">
                  <c:v>47656</c:v>
                </c:pt>
                <c:pt idx="3">
                  <c:v>4813967</c:v>
                </c:pt>
                <c:pt idx="4">
                  <c:v>2862637</c:v>
                </c:pt>
              </c:numCache>
            </c:numRef>
          </c:val>
          <c:extLst>
            <c:ext xmlns:c16="http://schemas.microsoft.com/office/drawing/2014/chart" uri="{C3380CC4-5D6E-409C-BE32-E72D297353CC}">
              <c16:uniqueId val="{00000008-5425-49B0-A194-8552ACBDE711}"/>
            </c:ext>
          </c:extLst>
        </c:ser>
        <c:ser>
          <c:idx val="9"/>
          <c:order val="9"/>
          <c:tx>
            <c:strRef>
              <c:f>Geopivot!$K$3</c:f>
              <c:strCache>
                <c:ptCount val="1"/>
                <c:pt idx="0">
                  <c:v>Sum of Motor vehicle theft</c:v>
                </c:pt>
              </c:strCache>
            </c:strRef>
          </c:tx>
          <c:spPr>
            <a:solidFill>
              <a:schemeClr val="accent4">
                <a:lumMod val="60000"/>
              </a:schemeClr>
            </a:solidFill>
            <a:ln>
              <a:noFill/>
            </a:ln>
            <a:effectLst/>
          </c:spPr>
          <c:invertIfNegative val="0"/>
          <c:cat>
            <c:strRef>
              <c:f>Geopivot!$A$4:$A$9</c:f>
              <c:strCache>
                <c:ptCount val="5"/>
                <c:pt idx="0">
                  <c:v>Midwest</c:v>
                </c:pt>
                <c:pt idx="1">
                  <c:v>Northeast</c:v>
                </c:pt>
                <c:pt idx="2">
                  <c:v>Puerto Rico</c:v>
                </c:pt>
                <c:pt idx="3">
                  <c:v>South  </c:v>
                </c:pt>
                <c:pt idx="4">
                  <c:v>West</c:v>
                </c:pt>
              </c:strCache>
            </c:strRef>
          </c:cat>
          <c:val>
            <c:numRef>
              <c:f>Geopivot!$K$4:$K$9</c:f>
              <c:numCache>
                <c:formatCode>#,##0;[Red]#,##0</c:formatCode>
                <c:ptCount val="5"/>
                <c:pt idx="0">
                  <c:v>253304</c:v>
                </c:pt>
                <c:pt idx="1">
                  <c:v>114399</c:v>
                </c:pt>
                <c:pt idx="2">
                  <c:v>7861</c:v>
                </c:pt>
                <c:pt idx="3">
                  <c:v>519377</c:v>
                </c:pt>
                <c:pt idx="4">
                  <c:v>591467</c:v>
                </c:pt>
              </c:numCache>
            </c:numRef>
          </c:val>
          <c:extLst>
            <c:ext xmlns:c16="http://schemas.microsoft.com/office/drawing/2014/chart" uri="{C3380CC4-5D6E-409C-BE32-E72D297353CC}">
              <c16:uniqueId val="{00000009-5425-49B0-A194-8552ACBDE711}"/>
            </c:ext>
          </c:extLst>
        </c:ser>
        <c:dLbls>
          <c:showLegendKey val="0"/>
          <c:showVal val="0"/>
          <c:showCatName val="0"/>
          <c:showSerName val="0"/>
          <c:showPercent val="0"/>
          <c:showBubbleSize val="0"/>
        </c:dLbls>
        <c:gapWidth val="219"/>
        <c:overlap val="-27"/>
        <c:axId val="1057877048"/>
        <c:axId val="1057877376"/>
      </c:barChart>
      <c:catAx>
        <c:axId val="10578770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Regions/States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877376"/>
        <c:crosses val="autoZero"/>
        <c:auto val="1"/>
        <c:lblAlgn val="ctr"/>
        <c:lblOffset val="100"/>
        <c:noMultiLvlLbl val="0"/>
      </c:catAx>
      <c:valAx>
        <c:axId val="1057877376"/>
        <c:scaling>
          <c:orientation val="minMax"/>
          <c:max val="35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a:t>
                </a:r>
                <a:r>
                  <a:rPr lang="en-US" baseline="0"/>
                  <a:t> of  Crimes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877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[FBI Crime Data.xlsm]Geopivot!PivotTable4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Crime By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s>
    <c:plotArea>
      <c:layout/>
      <c:barChart>
        <c:barDir val="col"/>
        <c:grouping val="clustered"/>
        <c:varyColors val="0"/>
        <c:ser>
          <c:idx val="0"/>
          <c:order val="0"/>
          <c:tx>
            <c:strRef>
              <c:f>Geopivot!$D$40</c:f>
              <c:strCache>
                <c:ptCount val="1"/>
                <c:pt idx="0">
                  <c:v>Sum of Violent crime</c:v>
                </c:pt>
              </c:strCache>
            </c:strRef>
          </c:tx>
          <c:spPr>
            <a:solidFill>
              <a:schemeClr val="accent1"/>
            </a:solidFill>
            <a:ln>
              <a:noFill/>
            </a:ln>
            <a:effectLst/>
          </c:spPr>
          <c:invertIfNegative val="0"/>
          <c:cat>
            <c:strRef>
              <c:f>Geopivot!$C$41:$C$43</c:f>
              <c:strCache>
                <c:ptCount val="2"/>
                <c:pt idx="0">
                  <c:v>2015</c:v>
                </c:pt>
                <c:pt idx="1">
                  <c:v>2016</c:v>
                </c:pt>
              </c:strCache>
            </c:strRef>
          </c:cat>
          <c:val>
            <c:numRef>
              <c:f>Geopivot!$D$41:$D$43</c:f>
              <c:numCache>
                <c:formatCode>#,##0;[Red]#,##0</c:formatCode>
                <c:ptCount val="2"/>
                <c:pt idx="0">
                  <c:v>1241812</c:v>
                </c:pt>
                <c:pt idx="1">
                  <c:v>1290701</c:v>
                </c:pt>
              </c:numCache>
            </c:numRef>
          </c:val>
          <c:extLst>
            <c:ext xmlns:c16="http://schemas.microsoft.com/office/drawing/2014/chart" uri="{C3380CC4-5D6E-409C-BE32-E72D297353CC}">
              <c16:uniqueId val="{00000000-FD5C-4688-9795-2BEEF689417B}"/>
            </c:ext>
          </c:extLst>
        </c:ser>
        <c:ser>
          <c:idx val="1"/>
          <c:order val="1"/>
          <c:tx>
            <c:strRef>
              <c:f>Geopivot!$E$40</c:f>
              <c:strCache>
                <c:ptCount val="1"/>
                <c:pt idx="0">
                  <c:v>Sum of Murder and  nonnegligent  manslaughter</c:v>
                </c:pt>
              </c:strCache>
            </c:strRef>
          </c:tx>
          <c:spPr>
            <a:solidFill>
              <a:schemeClr val="accent2"/>
            </a:solidFill>
            <a:ln>
              <a:noFill/>
            </a:ln>
            <a:effectLst/>
          </c:spPr>
          <c:invertIfNegative val="0"/>
          <c:cat>
            <c:strRef>
              <c:f>Geopivot!$C$41:$C$43</c:f>
              <c:strCache>
                <c:ptCount val="2"/>
                <c:pt idx="0">
                  <c:v>2015</c:v>
                </c:pt>
                <c:pt idx="1">
                  <c:v>2016</c:v>
                </c:pt>
              </c:strCache>
            </c:strRef>
          </c:cat>
          <c:val>
            <c:numRef>
              <c:f>Geopivot!$E$41:$E$43</c:f>
              <c:numCache>
                <c:formatCode>#,##0;[Red]#,##0</c:formatCode>
                <c:ptCount val="2"/>
                <c:pt idx="0">
                  <c:v>16467</c:v>
                </c:pt>
                <c:pt idx="1">
                  <c:v>17929</c:v>
                </c:pt>
              </c:numCache>
            </c:numRef>
          </c:val>
          <c:extLst>
            <c:ext xmlns:c16="http://schemas.microsoft.com/office/drawing/2014/chart" uri="{C3380CC4-5D6E-409C-BE32-E72D297353CC}">
              <c16:uniqueId val="{00000001-FD5C-4688-9795-2BEEF689417B}"/>
            </c:ext>
          </c:extLst>
        </c:ser>
        <c:ser>
          <c:idx val="2"/>
          <c:order val="2"/>
          <c:tx>
            <c:strRef>
              <c:f>Geopivot!$F$40</c:f>
              <c:strCache>
                <c:ptCount val="1"/>
                <c:pt idx="0">
                  <c:v>Sum of Rape (revised definition)</c:v>
                </c:pt>
              </c:strCache>
            </c:strRef>
          </c:tx>
          <c:spPr>
            <a:solidFill>
              <a:schemeClr val="accent3"/>
            </a:solidFill>
            <a:ln>
              <a:noFill/>
            </a:ln>
            <a:effectLst/>
          </c:spPr>
          <c:invertIfNegative val="0"/>
          <c:cat>
            <c:strRef>
              <c:f>Geopivot!$C$41:$C$43</c:f>
              <c:strCache>
                <c:ptCount val="2"/>
                <c:pt idx="0">
                  <c:v>2015</c:v>
                </c:pt>
                <c:pt idx="1">
                  <c:v>2016</c:v>
                </c:pt>
              </c:strCache>
            </c:strRef>
          </c:cat>
          <c:val>
            <c:numRef>
              <c:f>Geopivot!$F$41:$F$43</c:f>
              <c:numCache>
                <c:formatCode>#,##0;[Red]#,##0</c:formatCode>
                <c:ptCount val="2"/>
                <c:pt idx="0">
                  <c:v>126299</c:v>
                </c:pt>
                <c:pt idx="1">
                  <c:v>130772</c:v>
                </c:pt>
              </c:numCache>
            </c:numRef>
          </c:val>
          <c:extLst>
            <c:ext xmlns:c16="http://schemas.microsoft.com/office/drawing/2014/chart" uri="{C3380CC4-5D6E-409C-BE32-E72D297353CC}">
              <c16:uniqueId val="{00000002-FD5C-4688-9795-2BEEF689417B}"/>
            </c:ext>
          </c:extLst>
        </c:ser>
        <c:ser>
          <c:idx val="3"/>
          <c:order val="3"/>
          <c:tx>
            <c:strRef>
              <c:f>Geopivot!$G$40</c:f>
              <c:strCache>
                <c:ptCount val="1"/>
                <c:pt idx="0">
                  <c:v>Sum of Robbery</c:v>
                </c:pt>
              </c:strCache>
            </c:strRef>
          </c:tx>
          <c:spPr>
            <a:solidFill>
              <a:schemeClr val="accent4"/>
            </a:solidFill>
            <a:ln>
              <a:noFill/>
            </a:ln>
            <a:effectLst/>
          </c:spPr>
          <c:invertIfNegative val="0"/>
          <c:cat>
            <c:strRef>
              <c:f>Geopivot!$C$41:$C$43</c:f>
              <c:strCache>
                <c:ptCount val="2"/>
                <c:pt idx="0">
                  <c:v>2015</c:v>
                </c:pt>
                <c:pt idx="1">
                  <c:v>2016</c:v>
                </c:pt>
              </c:strCache>
            </c:strRef>
          </c:cat>
          <c:val>
            <c:numRef>
              <c:f>Geopivot!$G$41:$G$43</c:f>
              <c:numCache>
                <c:formatCode>#,##0;[Red]#,##0</c:formatCode>
                <c:ptCount val="2"/>
                <c:pt idx="0">
                  <c:v>332179</c:v>
                </c:pt>
                <c:pt idx="1">
                  <c:v>335399</c:v>
                </c:pt>
              </c:numCache>
            </c:numRef>
          </c:val>
          <c:extLst>
            <c:ext xmlns:c16="http://schemas.microsoft.com/office/drawing/2014/chart" uri="{C3380CC4-5D6E-409C-BE32-E72D297353CC}">
              <c16:uniqueId val="{00000003-FD5C-4688-9795-2BEEF689417B}"/>
            </c:ext>
          </c:extLst>
        </c:ser>
        <c:ser>
          <c:idx val="4"/>
          <c:order val="4"/>
          <c:tx>
            <c:strRef>
              <c:f>Geopivot!$H$40</c:f>
              <c:strCache>
                <c:ptCount val="1"/>
                <c:pt idx="0">
                  <c:v>Sum of Aggravated assault</c:v>
                </c:pt>
              </c:strCache>
            </c:strRef>
          </c:tx>
          <c:spPr>
            <a:solidFill>
              <a:schemeClr val="accent5"/>
            </a:solidFill>
            <a:ln>
              <a:noFill/>
            </a:ln>
            <a:effectLst/>
          </c:spPr>
          <c:invertIfNegative val="0"/>
          <c:cat>
            <c:strRef>
              <c:f>Geopivot!$C$41:$C$43</c:f>
              <c:strCache>
                <c:ptCount val="2"/>
                <c:pt idx="0">
                  <c:v>2015</c:v>
                </c:pt>
                <c:pt idx="1">
                  <c:v>2016</c:v>
                </c:pt>
              </c:strCache>
            </c:strRef>
          </c:cat>
          <c:val>
            <c:numRef>
              <c:f>Geopivot!$H$41:$H$43</c:f>
              <c:numCache>
                <c:formatCode>#,##0;[Red]#,##0</c:formatCode>
                <c:ptCount val="2"/>
                <c:pt idx="0">
                  <c:v>766867</c:v>
                </c:pt>
                <c:pt idx="1">
                  <c:v>806601</c:v>
                </c:pt>
              </c:numCache>
            </c:numRef>
          </c:val>
          <c:extLst>
            <c:ext xmlns:c16="http://schemas.microsoft.com/office/drawing/2014/chart" uri="{C3380CC4-5D6E-409C-BE32-E72D297353CC}">
              <c16:uniqueId val="{00000004-FD5C-4688-9795-2BEEF689417B}"/>
            </c:ext>
          </c:extLst>
        </c:ser>
        <c:ser>
          <c:idx val="5"/>
          <c:order val="5"/>
          <c:tx>
            <c:strRef>
              <c:f>Geopivot!$I$40</c:f>
              <c:strCache>
                <c:ptCount val="1"/>
                <c:pt idx="0">
                  <c:v>Sum of Property crime</c:v>
                </c:pt>
              </c:strCache>
            </c:strRef>
          </c:tx>
          <c:spPr>
            <a:solidFill>
              <a:schemeClr val="accent6"/>
            </a:solidFill>
            <a:ln>
              <a:noFill/>
            </a:ln>
            <a:effectLst/>
          </c:spPr>
          <c:invertIfNegative val="0"/>
          <c:cat>
            <c:strRef>
              <c:f>Geopivot!$C$41:$C$43</c:f>
              <c:strCache>
                <c:ptCount val="2"/>
                <c:pt idx="0">
                  <c:v>2015</c:v>
                </c:pt>
                <c:pt idx="1">
                  <c:v>2016</c:v>
                </c:pt>
              </c:strCache>
            </c:strRef>
          </c:cat>
          <c:val>
            <c:numRef>
              <c:f>Geopivot!$I$41:$I$43</c:f>
              <c:numCache>
                <c:formatCode>#,##0;[Red]#,##0</c:formatCode>
                <c:ptCount val="2"/>
                <c:pt idx="0">
                  <c:v>8061832</c:v>
                </c:pt>
                <c:pt idx="1">
                  <c:v>7954236</c:v>
                </c:pt>
              </c:numCache>
            </c:numRef>
          </c:val>
          <c:extLst>
            <c:ext xmlns:c16="http://schemas.microsoft.com/office/drawing/2014/chart" uri="{C3380CC4-5D6E-409C-BE32-E72D297353CC}">
              <c16:uniqueId val="{00000005-FD5C-4688-9795-2BEEF689417B}"/>
            </c:ext>
          </c:extLst>
        </c:ser>
        <c:ser>
          <c:idx val="6"/>
          <c:order val="6"/>
          <c:tx>
            <c:strRef>
              <c:f>Geopivot!$J$40</c:f>
              <c:strCache>
                <c:ptCount val="1"/>
                <c:pt idx="0">
                  <c:v>Sum of Burglary</c:v>
                </c:pt>
              </c:strCache>
            </c:strRef>
          </c:tx>
          <c:spPr>
            <a:solidFill>
              <a:schemeClr val="accent1">
                <a:lumMod val="60000"/>
              </a:schemeClr>
            </a:solidFill>
            <a:ln>
              <a:noFill/>
            </a:ln>
            <a:effectLst/>
          </c:spPr>
          <c:invertIfNegative val="0"/>
          <c:cat>
            <c:strRef>
              <c:f>Geopivot!$C$41:$C$43</c:f>
              <c:strCache>
                <c:ptCount val="2"/>
                <c:pt idx="0">
                  <c:v>2015</c:v>
                </c:pt>
                <c:pt idx="1">
                  <c:v>2016</c:v>
                </c:pt>
              </c:strCache>
            </c:strRef>
          </c:cat>
          <c:val>
            <c:numRef>
              <c:f>Geopivot!$J$41:$J$43</c:f>
              <c:numCache>
                <c:formatCode>#,##0;[Red]#,##0</c:formatCode>
                <c:ptCount val="2"/>
                <c:pt idx="0">
                  <c:v>1596714</c:v>
                </c:pt>
                <c:pt idx="1">
                  <c:v>1523347</c:v>
                </c:pt>
              </c:numCache>
            </c:numRef>
          </c:val>
          <c:extLst>
            <c:ext xmlns:c16="http://schemas.microsoft.com/office/drawing/2014/chart" uri="{C3380CC4-5D6E-409C-BE32-E72D297353CC}">
              <c16:uniqueId val="{00000006-FD5C-4688-9795-2BEEF689417B}"/>
            </c:ext>
          </c:extLst>
        </c:ser>
        <c:ser>
          <c:idx val="7"/>
          <c:order val="7"/>
          <c:tx>
            <c:strRef>
              <c:f>Geopivot!$K$40</c:f>
              <c:strCache>
                <c:ptCount val="1"/>
                <c:pt idx="0">
                  <c:v>Sum of Larceny-theft</c:v>
                </c:pt>
              </c:strCache>
            </c:strRef>
          </c:tx>
          <c:spPr>
            <a:solidFill>
              <a:schemeClr val="accent2">
                <a:lumMod val="60000"/>
              </a:schemeClr>
            </a:solidFill>
            <a:ln>
              <a:noFill/>
            </a:ln>
            <a:effectLst/>
          </c:spPr>
          <c:invertIfNegative val="0"/>
          <c:cat>
            <c:strRef>
              <c:f>Geopivot!$C$41:$C$43</c:f>
              <c:strCache>
                <c:ptCount val="2"/>
                <c:pt idx="0">
                  <c:v>2015</c:v>
                </c:pt>
                <c:pt idx="1">
                  <c:v>2016</c:v>
                </c:pt>
              </c:strCache>
            </c:strRef>
          </c:cat>
          <c:val>
            <c:numRef>
              <c:f>Geopivot!$K$41:$K$43</c:f>
              <c:numCache>
                <c:formatCode>#,##0;[Red]#,##0</c:formatCode>
                <c:ptCount val="2"/>
                <c:pt idx="0">
                  <c:v>5747981</c:v>
                </c:pt>
                <c:pt idx="1">
                  <c:v>5661618</c:v>
                </c:pt>
              </c:numCache>
            </c:numRef>
          </c:val>
          <c:extLst>
            <c:ext xmlns:c16="http://schemas.microsoft.com/office/drawing/2014/chart" uri="{C3380CC4-5D6E-409C-BE32-E72D297353CC}">
              <c16:uniqueId val="{00000007-FD5C-4688-9795-2BEEF689417B}"/>
            </c:ext>
          </c:extLst>
        </c:ser>
        <c:ser>
          <c:idx val="8"/>
          <c:order val="8"/>
          <c:tx>
            <c:strRef>
              <c:f>Geopivot!$L$40</c:f>
              <c:strCache>
                <c:ptCount val="1"/>
                <c:pt idx="0">
                  <c:v>Sum of Motor vehicle theft</c:v>
                </c:pt>
              </c:strCache>
            </c:strRef>
          </c:tx>
          <c:spPr>
            <a:solidFill>
              <a:schemeClr val="accent3">
                <a:lumMod val="60000"/>
              </a:schemeClr>
            </a:solidFill>
            <a:ln>
              <a:noFill/>
            </a:ln>
            <a:effectLst/>
          </c:spPr>
          <c:invertIfNegative val="0"/>
          <c:cat>
            <c:strRef>
              <c:f>Geopivot!$C$41:$C$43</c:f>
              <c:strCache>
                <c:ptCount val="2"/>
                <c:pt idx="0">
                  <c:v>2015</c:v>
                </c:pt>
                <c:pt idx="1">
                  <c:v>2016</c:v>
                </c:pt>
              </c:strCache>
            </c:strRef>
          </c:cat>
          <c:val>
            <c:numRef>
              <c:f>Geopivot!$L$41:$L$43</c:f>
              <c:numCache>
                <c:formatCode>#,##0;[Red]#,##0</c:formatCode>
                <c:ptCount val="2"/>
                <c:pt idx="0">
                  <c:v>717137</c:v>
                </c:pt>
                <c:pt idx="1">
                  <c:v>769271</c:v>
                </c:pt>
              </c:numCache>
            </c:numRef>
          </c:val>
          <c:extLst>
            <c:ext xmlns:c16="http://schemas.microsoft.com/office/drawing/2014/chart" uri="{C3380CC4-5D6E-409C-BE32-E72D297353CC}">
              <c16:uniqueId val="{00000008-FD5C-4688-9795-2BEEF689417B}"/>
            </c:ext>
          </c:extLst>
        </c:ser>
        <c:dLbls>
          <c:showLegendKey val="0"/>
          <c:showVal val="0"/>
          <c:showCatName val="0"/>
          <c:showSerName val="0"/>
          <c:showPercent val="0"/>
          <c:showBubbleSize val="0"/>
        </c:dLbls>
        <c:gapWidth val="219"/>
        <c:overlap val="-27"/>
        <c:axId val="1147512328"/>
        <c:axId val="1147514296"/>
      </c:barChart>
      <c:catAx>
        <c:axId val="11475123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514296"/>
        <c:crosses val="autoZero"/>
        <c:auto val="1"/>
        <c:lblAlgn val="ctr"/>
        <c:lblOffset val="100"/>
        <c:noMultiLvlLbl val="0"/>
      </c:catAx>
      <c:valAx>
        <c:axId val="11475142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Crime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7512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[FBI Crime Data.xlsm]Geopivot!PivotTable5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Crime By</a:t>
            </a:r>
            <a:r>
              <a:rPr lang="en-US" baseline="0"/>
              <a:t>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Geopivot!$B$67</c:f>
              <c:strCache>
                <c:ptCount val="1"/>
                <c:pt idx="0">
                  <c:v>Sum of Total Crimes(rape revised)</c:v>
                </c:pt>
              </c:strCache>
            </c:strRef>
          </c:tx>
          <c:spPr>
            <a:solidFill>
              <a:schemeClr val="accent1"/>
            </a:solidFill>
            <a:ln>
              <a:noFill/>
            </a:ln>
            <a:effectLst/>
          </c:spPr>
          <c:invertIfNegative val="0"/>
          <c:cat>
            <c:strRef>
              <c:f>Geopivot!$A$68:$A$70</c:f>
              <c:strCache>
                <c:ptCount val="2"/>
                <c:pt idx="0">
                  <c:v>2015</c:v>
                </c:pt>
                <c:pt idx="1">
                  <c:v>2016</c:v>
                </c:pt>
              </c:strCache>
            </c:strRef>
          </c:cat>
          <c:val>
            <c:numRef>
              <c:f>Geopivot!$B$68:$B$70</c:f>
              <c:numCache>
                <c:formatCode>#,##0;[Red]#,##0</c:formatCode>
                <c:ptCount val="2"/>
                <c:pt idx="0">
                  <c:v>18607288</c:v>
                </c:pt>
                <c:pt idx="1">
                  <c:v>18489874</c:v>
                </c:pt>
              </c:numCache>
            </c:numRef>
          </c:val>
          <c:extLst>
            <c:ext xmlns:c16="http://schemas.microsoft.com/office/drawing/2014/chart" uri="{C3380CC4-5D6E-409C-BE32-E72D297353CC}">
              <c16:uniqueId val="{00000000-019E-42C7-8C76-F352A8AE7C9F}"/>
            </c:ext>
          </c:extLst>
        </c:ser>
        <c:ser>
          <c:idx val="1"/>
          <c:order val="1"/>
          <c:tx>
            <c:strRef>
              <c:f>Geopivot!$C$67</c:f>
              <c:strCache>
                <c:ptCount val="1"/>
                <c:pt idx="0">
                  <c:v>Sum of Total Crime(rape legacy)</c:v>
                </c:pt>
              </c:strCache>
            </c:strRef>
          </c:tx>
          <c:spPr>
            <a:solidFill>
              <a:schemeClr val="accent2"/>
            </a:solidFill>
            <a:ln>
              <a:noFill/>
            </a:ln>
            <a:effectLst/>
          </c:spPr>
          <c:invertIfNegative val="0"/>
          <c:cat>
            <c:strRef>
              <c:f>Geopivot!$A$68:$A$70</c:f>
              <c:strCache>
                <c:ptCount val="2"/>
                <c:pt idx="0">
                  <c:v>2015</c:v>
                </c:pt>
                <c:pt idx="1">
                  <c:v>2016</c:v>
                </c:pt>
              </c:strCache>
            </c:strRef>
          </c:cat>
          <c:val>
            <c:numRef>
              <c:f>Geopivot!$C$68:$C$70</c:f>
              <c:numCache>
                <c:formatCode>#,##0;[Red]#,##0</c:formatCode>
                <c:ptCount val="2"/>
                <c:pt idx="0">
                  <c:v>18572373</c:v>
                </c:pt>
                <c:pt idx="1">
                  <c:v>18454960</c:v>
                </c:pt>
              </c:numCache>
            </c:numRef>
          </c:val>
          <c:extLst>
            <c:ext xmlns:c16="http://schemas.microsoft.com/office/drawing/2014/chart" uri="{C3380CC4-5D6E-409C-BE32-E72D297353CC}">
              <c16:uniqueId val="{00000001-019E-42C7-8C76-F352A8AE7C9F}"/>
            </c:ext>
          </c:extLst>
        </c:ser>
        <c:dLbls>
          <c:showLegendKey val="0"/>
          <c:showVal val="0"/>
          <c:showCatName val="0"/>
          <c:showSerName val="0"/>
          <c:showPercent val="0"/>
          <c:showBubbleSize val="0"/>
        </c:dLbls>
        <c:gapWidth val="219"/>
        <c:overlap val="-27"/>
        <c:axId val="923652552"/>
        <c:axId val="923651568"/>
      </c:barChart>
      <c:catAx>
        <c:axId val="9236525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651568"/>
        <c:crosses val="autoZero"/>
        <c:auto val="1"/>
        <c:lblAlgn val="ctr"/>
        <c:lblOffset val="100"/>
        <c:noMultiLvlLbl val="0"/>
      </c:catAx>
      <c:valAx>
        <c:axId val="923651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Crime</a:t>
                </a:r>
              </a:p>
              <a:p>
                <a:pPr>
                  <a:defRPr/>
                </a:pPr>
                <a:endParaRPr lang="en-US"/>
              </a:p>
            </c:rich>
          </c:tx>
          <c:layout>
            <c:manualLayout>
              <c:xMode val="edge"/>
              <c:yMode val="edge"/>
              <c:x val="2.664244372045993E-2"/>
              <c:y val="0.4261486585010206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652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[FBI Crime Data.xlsm]Geopivot!PivotTable4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Crime</a:t>
            </a:r>
            <a:r>
              <a:rPr lang="en-US" baseline="0"/>
              <a:t> By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ln w="28575" cap="rnd">
            <a:solidFill>
              <a:schemeClr val="accent1"/>
            </a:solidFill>
            <a:round/>
          </a:ln>
          <a:effectLst/>
        </c:spPr>
        <c:marker>
          <c:symbol val="circle"/>
          <c:size val="5"/>
          <c:spPr>
            <a:solidFill>
              <a:schemeClr val="accent4"/>
            </a:solidFill>
            <a:ln w="9525">
              <a:solidFill>
                <a:schemeClr val="accent4"/>
              </a:solidFill>
            </a:ln>
            <a:effectLst/>
          </c:spPr>
        </c:marker>
      </c:pivotFmt>
      <c:pivotFmt>
        <c:idx val="4"/>
        <c:spPr>
          <a:ln w="28575" cap="rnd">
            <a:solidFill>
              <a:schemeClr val="accent1"/>
            </a:solidFill>
            <a:round/>
          </a:ln>
          <a:effectLst/>
        </c:spPr>
        <c:marker>
          <c:symbol val="circle"/>
          <c:size val="5"/>
          <c:spPr>
            <a:solidFill>
              <a:schemeClr val="accent5"/>
            </a:solidFill>
            <a:ln w="9525">
              <a:solidFill>
                <a:schemeClr val="accent5"/>
              </a:solidFill>
            </a:ln>
            <a:effectLst/>
          </c:spPr>
        </c:marker>
      </c:pivotFmt>
      <c:pivotFmt>
        <c:idx val="5"/>
        <c:spPr>
          <a:ln w="28575" cap="rnd">
            <a:solidFill>
              <a:schemeClr val="accent1"/>
            </a:solidFill>
            <a:round/>
          </a:ln>
          <a:effectLst/>
        </c:spPr>
        <c:marker>
          <c:symbol val="circle"/>
          <c:size val="5"/>
          <c:spPr>
            <a:solidFill>
              <a:schemeClr val="accent6"/>
            </a:solidFill>
            <a:ln w="9525">
              <a:solidFill>
                <a:schemeClr val="accent6"/>
              </a:solidFill>
            </a:ln>
            <a:effectLst/>
          </c:spPr>
        </c:marker>
      </c:pivotFmt>
      <c:pivotFmt>
        <c:idx val="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pivotFmt>
      <c:pivotFmt>
        <c:idx val="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pivotFmt>
      <c:pivotFmt>
        <c:idx val="8"/>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pivotFmt>
    </c:pivotFmts>
    <c:plotArea>
      <c:layout/>
      <c:lineChart>
        <c:grouping val="standard"/>
        <c:varyColors val="0"/>
        <c:ser>
          <c:idx val="0"/>
          <c:order val="0"/>
          <c:tx>
            <c:strRef>
              <c:f>Geopivot!$D$40</c:f>
              <c:strCache>
                <c:ptCount val="1"/>
                <c:pt idx="0">
                  <c:v>Sum of Violent crime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Geopivot!$C$41:$C$43</c:f>
              <c:strCache>
                <c:ptCount val="2"/>
                <c:pt idx="0">
                  <c:v>2015</c:v>
                </c:pt>
                <c:pt idx="1">
                  <c:v>2016</c:v>
                </c:pt>
              </c:strCache>
            </c:strRef>
          </c:cat>
          <c:val>
            <c:numRef>
              <c:f>Geopivot!$D$41:$D$43</c:f>
              <c:numCache>
                <c:formatCode>#,##0;[Red]#,##0</c:formatCode>
                <c:ptCount val="2"/>
                <c:pt idx="0">
                  <c:v>1241812</c:v>
                </c:pt>
                <c:pt idx="1">
                  <c:v>1290701</c:v>
                </c:pt>
              </c:numCache>
            </c:numRef>
          </c:val>
          <c:smooth val="0"/>
          <c:extLst>
            <c:ext xmlns:c16="http://schemas.microsoft.com/office/drawing/2014/chart" uri="{C3380CC4-5D6E-409C-BE32-E72D297353CC}">
              <c16:uniqueId val="{00000000-2D1E-4C8A-A4E3-5194F529647B}"/>
            </c:ext>
          </c:extLst>
        </c:ser>
        <c:ser>
          <c:idx val="1"/>
          <c:order val="1"/>
          <c:tx>
            <c:strRef>
              <c:f>Geopivot!$E$40</c:f>
              <c:strCache>
                <c:ptCount val="1"/>
                <c:pt idx="0">
                  <c:v>Sum of Murder and  nonnegligent  manslaughter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Geopivot!$C$41:$C$43</c:f>
              <c:strCache>
                <c:ptCount val="2"/>
                <c:pt idx="0">
                  <c:v>2015</c:v>
                </c:pt>
                <c:pt idx="1">
                  <c:v>2016</c:v>
                </c:pt>
              </c:strCache>
            </c:strRef>
          </c:cat>
          <c:val>
            <c:numRef>
              <c:f>Geopivot!$E$41:$E$43</c:f>
              <c:numCache>
                <c:formatCode>#,##0;[Red]#,##0</c:formatCode>
                <c:ptCount val="2"/>
                <c:pt idx="0">
                  <c:v>16467</c:v>
                </c:pt>
                <c:pt idx="1">
                  <c:v>17929</c:v>
                </c:pt>
              </c:numCache>
            </c:numRef>
          </c:val>
          <c:smooth val="0"/>
          <c:extLst>
            <c:ext xmlns:c16="http://schemas.microsoft.com/office/drawing/2014/chart" uri="{C3380CC4-5D6E-409C-BE32-E72D297353CC}">
              <c16:uniqueId val="{00000001-2D1E-4C8A-A4E3-5194F529647B}"/>
            </c:ext>
          </c:extLst>
        </c:ser>
        <c:ser>
          <c:idx val="2"/>
          <c:order val="2"/>
          <c:tx>
            <c:strRef>
              <c:f>Geopivot!$F$40</c:f>
              <c:strCache>
                <c:ptCount val="1"/>
                <c:pt idx="0">
                  <c:v>Sum of Rape (revised definition)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Geopivot!$C$41:$C$43</c:f>
              <c:strCache>
                <c:ptCount val="2"/>
                <c:pt idx="0">
                  <c:v>2015</c:v>
                </c:pt>
                <c:pt idx="1">
                  <c:v>2016</c:v>
                </c:pt>
              </c:strCache>
            </c:strRef>
          </c:cat>
          <c:val>
            <c:numRef>
              <c:f>Geopivot!$F$41:$F$43</c:f>
              <c:numCache>
                <c:formatCode>#,##0;[Red]#,##0</c:formatCode>
                <c:ptCount val="2"/>
                <c:pt idx="0">
                  <c:v>126299</c:v>
                </c:pt>
                <c:pt idx="1">
                  <c:v>130772</c:v>
                </c:pt>
              </c:numCache>
            </c:numRef>
          </c:val>
          <c:smooth val="0"/>
          <c:extLst>
            <c:ext xmlns:c16="http://schemas.microsoft.com/office/drawing/2014/chart" uri="{C3380CC4-5D6E-409C-BE32-E72D297353CC}">
              <c16:uniqueId val="{00000002-2D1E-4C8A-A4E3-5194F529647B}"/>
            </c:ext>
          </c:extLst>
        </c:ser>
        <c:ser>
          <c:idx val="3"/>
          <c:order val="3"/>
          <c:tx>
            <c:strRef>
              <c:f>Geopivot!$G$40</c:f>
              <c:strCache>
                <c:ptCount val="1"/>
                <c:pt idx="0">
                  <c:v>Sum of Robbery</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Geopivot!$C$41:$C$43</c:f>
              <c:strCache>
                <c:ptCount val="2"/>
                <c:pt idx="0">
                  <c:v>2015</c:v>
                </c:pt>
                <c:pt idx="1">
                  <c:v>2016</c:v>
                </c:pt>
              </c:strCache>
            </c:strRef>
          </c:cat>
          <c:val>
            <c:numRef>
              <c:f>Geopivot!$G$41:$G$43</c:f>
              <c:numCache>
                <c:formatCode>#,##0;[Red]#,##0</c:formatCode>
                <c:ptCount val="2"/>
                <c:pt idx="0">
                  <c:v>332179</c:v>
                </c:pt>
                <c:pt idx="1">
                  <c:v>335399</c:v>
                </c:pt>
              </c:numCache>
            </c:numRef>
          </c:val>
          <c:smooth val="0"/>
          <c:extLst>
            <c:ext xmlns:c16="http://schemas.microsoft.com/office/drawing/2014/chart" uri="{C3380CC4-5D6E-409C-BE32-E72D297353CC}">
              <c16:uniqueId val="{00000003-2D1E-4C8A-A4E3-5194F529647B}"/>
            </c:ext>
          </c:extLst>
        </c:ser>
        <c:ser>
          <c:idx val="4"/>
          <c:order val="4"/>
          <c:tx>
            <c:strRef>
              <c:f>Geopivot!$H$40</c:f>
              <c:strCache>
                <c:ptCount val="1"/>
                <c:pt idx="0">
                  <c:v>Sum of Aggravated assault</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Geopivot!$C$41:$C$43</c:f>
              <c:strCache>
                <c:ptCount val="2"/>
                <c:pt idx="0">
                  <c:v>2015</c:v>
                </c:pt>
                <c:pt idx="1">
                  <c:v>2016</c:v>
                </c:pt>
              </c:strCache>
            </c:strRef>
          </c:cat>
          <c:val>
            <c:numRef>
              <c:f>Geopivot!$H$41:$H$43</c:f>
              <c:numCache>
                <c:formatCode>#,##0;[Red]#,##0</c:formatCode>
                <c:ptCount val="2"/>
                <c:pt idx="0">
                  <c:v>766867</c:v>
                </c:pt>
                <c:pt idx="1">
                  <c:v>806601</c:v>
                </c:pt>
              </c:numCache>
            </c:numRef>
          </c:val>
          <c:smooth val="0"/>
          <c:extLst>
            <c:ext xmlns:c16="http://schemas.microsoft.com/office/drawing/2014/chart" uri="{C3380CC4-5D6E-409C-BE32-E72D297353CC}">
              <c16:uniqueId val="{00000004-2D1E-4C8A-A4E3-5194F529647B}"/>
            </c:ext>
          </c:extLst>
        </c:ser>
        <c:ser>
          <c:idx val="5"/>
          <c:order val="5"/>
          <c:tx>
            <c:strRef>
              <c:f>Geopivot!$I$40</c:f>
              <c:strCache>
                <c:ptCount val="1"/>
                <c:pt idx="0">
                  <c:v>Sum of Property crime</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Geopivot!$C$41:$C$43</c:f>
              <c:strCache>
                <c:ptCount val="2"/>
                <c:pt idx="0">
                  <c:v>2015</c:v>
                </c:pt>
                <c:pt idx="1">
                  <c:v>2016</c:v>
                </c:pt>
              </c:strCache>
            </c:strRef>
          </c:cat>
          <c:val>
            <c:numRef>
              <c:f>Geopivot!$I$41:$I$43</c:f>
              <c:numCache>
                <c:formatCode>#,##0;[Red]#,##0</c:formatCode>
                <c:ptCount val="2"/>
                <c:pt idx="0">
                  <c:v>8061832</c:v>
                </c:pt>
                <c:pt idx="1">
                  <c:v>7954236</c:v>
                </c:pt>
              </c:numCache>
            </c:numRef>
          </c:val>
          <c:smooth val="0"/>
          <c:extLst>
            <c:ext xmlns:c16="http://schemas.microsoft.com/office/drawing/2014/chart" uri="{C3380CC4-5D6E-409C-BE32-E72D297353CC}">
              <c16:uniqueId val="{00000005-2D1E-4C8A-A4E3-5194F529647B}"/>
            </c:ext>
          </c:extLst>
        </c:ser>
        <c:ser>
          <c:idx val="6"/>
          <c:order val="6"/>
          <c:tx>
            <c:strRef>
              <c:f>Geopivot!$J$40</c:f>
              <c:strCache>
                <c:ptCount val="1"/>
                <c:pt idx="0">
                  <c:v>Sum of Burglary</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Geopivot!$C$41:$C$43</c:f>
              <c:strCache>
                <c:ptCount val="2"/>
                <c:pt idx="0">
                  <c:v>2015</c:v>
                </c:pt>
                <c:pt idx="1">
                  <c:v>2016</c:v>
                </c:pt>
              </c:strCache>
            </c:strRef>
          </c:cat>
          <c:val>
            <c:numRef>
              <c:f>Geopivot!$J$41:$J$43</c:f>
              <c:numCache>
                <c:formatCode>#,##0;[Red]#,##0</c:formatCode>
                <c:ptCount val="2"/>
                <c:pt idx="0">
                  <c:v>1596714</c:v>
                </c:pt>
                <c:pt idx="1">
                  <c:v>1523347</c:v>
                </c:pt>
              </c:numCache>
            </c:numRef>
          </c:val>
          <c:smooth val="0"/>
          <c:extLst>
            <c:ext xmlns:c16="http://schemas.microsoft.com/office/drawing/2014/chart" uri="{C3380CC4-5D6E-409C-BE32-E72D297353CC}">
              <c16:uniqueId val="{00000006-2D1E-4C8A-A4E3-5194F529647B}"/>
            </c:ext>
          </c:extLst>
        </c:ser>
        <c:ser>
          <c:idx val="7"/>
          <c:order val="7"/>
          <c:tx>
            <c:strRef>
              <c:f>Geopivot!$K$40</c:f>
              <c:strCache>
                <c:ptCount val="1"/>
                <c:pt idx="0">
                  <c:v>Sum of Larceny-theft</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Geopivot!$C$41:$C$43</c:f>
              <c:strCache>
                <c:ptCount val="2"/>
                <c:pt idx="0">
                  <c:v>2015</c:v>
                </c:pt>
                <c:pt idx="1">
                  <c:v>2016</c:v>
                </c:pt>
              </c:strCache>
            </c:strRef>
          </c:cat>
          <c:val>
            <c:numRef>
              <c:f>Geopivot!$K$41:$K$43</c:f>
              <c:numCache>
                <c:formatCode>#,##0;[Red]#,##0</c:formatCode>
                <c:ptCount val="2"/>
                <c:pt idx="0">
                  <c:v>5747981</c:v>
                </c:pt>
                <c:pt idx="1">
                  <c:v>5661618</c:v>
                </c:pt>
              </c:numCache>
            </c:numRef>
          </c:val>
          <c:smooth val="0"/>
          <c:extLst>
            <c:ext xmlns:c16="http://schemas.microsoft.com/office/drawing/2014/chart" uri="{C3380CC4-5D6E-409C-BE32-E72D297353CC}">
              <c16:uniqueId val="{00000007-2D1E-4C8A-A4E3-5194F529647B}"/>
            </c:ext>
          </c:extLst>
        </c:ser>
        <c:ser>
          <c:idx val="8"/>
          <c:order val="8"/>
          <c:tx>
            <c:strRef>
              <c:f>Geopivot!$L$40</c:f>
              <c:strCache>
                <c:ptCount val="1"/>
                <c:pt idx="0">
                  <c:v>Sum of Motor vehicle theft</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Geopivot!$C$41:$C$43</c:f>
              <c:strCache>
                <c:ptCount val="2"/>
                <c:pt idx="0">
                  <c:v>2015</c:v>
                </c:pt>
                <c:pt idx="1">
                  <c:v>2016</c:v>
                </c:pt>
              </c:strCache>
            </c:strRef>
          </c:cat>
          <c:val>
            <c:numRef>
              <c:f>Geopivot!$L$41:$L$43</c:f>
              <c:numCache>
                <c:formatCode>#,##0;[Red]#,##0</c:formatCode>
                <c:ptCount val="2"/>
                <c:pt idx="0">
                  <c:v>717137</c:v>
                </c:pt>
                <c:pt idx="1">
                  <c:v>769271</c:v>
                </c:pt>
              </c:numCache>
            </c:numRef>
          </c:val>
          <c:smooth val="0"/>
          <c:extLst>
            <c:ext xmlns:c16="http://schemas.microsoft.com/office/drawing/2014/chart" uri="{C3380CC4-5D6E-409C-BE32-E72D297353CC}">
              <c16:uniqueId val="{00000008-2D1E-4C8A-A4E3-5194F529647B}"/>
            </c:ext>
          </c:extLst>
        </c:ser>
        <c:dLbls>
          <c:showLegendKey val="0"/>
          <c:showVal val="0"/>
          <c:showCatName val="0"/>
          <c:showSerName val="0"/>
          <c:showPercent val="0"/>
          <c:showBubbleSize val="0"/>
        </c:dLbls>
        <c:marker val="1"/>
        <c:smooth val="0"/>
        <c:axId val="1211394432"/>
        <c:axId val="1211399680"/>
      </c:lineChart>
      <c:catAx>
        <c:axId val="12113944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399680"/>
        <c:crosses val="autoZero"/>
        <c:auto val="1"/>
        <c:lblAlgn val="ctr"/>
        <c:lblOffset val="100"/>
        <c:noMultiLvlLbl val="0"/>
      </c:catAx>
      <c:valAx>
        <c:axId val="1211399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Crime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3944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[FBI Crime Data.xlsm]Geopivot!PivotTable5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Crime By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Geopivot!$B$67</c:f>
              <c:strCache>
                <c:ptCount val="1"/>
                <c:pt idx="0">
                  <c:v>Sum of Total Crimes(rape revised)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Geopivot!$A$68:$A$70</c:f>
              <c:strCache>
                <c:ptCount val="2"/>
                <c:pt idx="0">
                  <c:v>2015</c:v>
                </c:pt>
                <c:pt idx="1">
                  <c:v>2016</c:v>
                </c:pt>
              </c:strCache>
            </c:strRef>
          </c:cat>
          <c:val>
            <c:numRef>
              <c:f>Geopivot!$B$68:$B$70</c:f>
              <c:numCache>
                <c:formatCode>#,##0;[Red]#,##0</c:formatCode>
                <c:ptCount val="2"/>
                <c:pt idx="0">
                  <c:v>18607288</c:v>
                </c:pt>
                <c:pt idx="1">
                  <c:v>18489874</c:v>
                </c:pt>
              </c:numCache>
            </c:numRef>
          </c:val>
          <c:smooth val="0"/>
          <c:extLst>
            <c:ext xmlns:c16="http://schemas.microsoft.com/office/drawing/2014/chart" uri="{C3380CC4-5D6E-409C-BE32-E72D297353CC}">
              <c16:uniqueId val="{00000000-8E45-4797-82B0-FBC2C5D9D627}"/>
            </c:ext>
          </c:extLst>
        </c:ser>
        <c:ser>
          <c:idx val="1"/>
          <c:order val="1"/>
          <c:tx>
            <c:strRef>
              <c:f>Geopivot!$C$67</c:f>
              <c:strCache>
                <c:ptCount val="1"/>
                <c:pt idx="0">
                  <c:v>Sum of Total Crime(rape legacy)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Geopivot!$A$68:$A$70</c:f>
              <c:strCache>
                <c:ptCount val="2"/>
                <c:pt idx="0">
                  <c:v>2015</c:v>
                </c:pt>
                <c:pt idx="1">
                  <c:v>2016</c:v>
                </c:pt>
              </c:strCache>
            </c:strRef>
          </c:cat>
          <c:val>
            <c:numRef>
              <c:f>Geopivot!$C$68:$C$70</c:f>
              <c:numCache>
                <c:formatCode>#,##0;[Red]#,##0</c:formatCode>
                <c:ptCount val="2"/>
                <c:pt idx="0">
                  <c:v>18572373</c:v>
                </c:pt>
                <c:pt idx="1">
                  <c:v>18454960</c:v>
                </c:pt>
              </c:numCache>
            </c:numRef>
          </c:val>
          <c:smooth val="0"/>
          <c:extLst>
            <c:ext xmlns:c16="http://schemas.microsoft.com/office/drawing/2014/chart" uri="{C3380CC4-5D6E-409C-BE32-E72D297353CC}">
              <c16:uniqueId val="{00000001-8E45-4797-82B0-FBC2C5D9D627}"/>
            </c:ext>
          </c:extLst>
        </c:ser>
        <c:dLbls>
          <c:showLegendKey val="0"/>
          <c:showVal val="0"/>
          <c:showCatName val="0"/>
          <c:showSerName val="0"/>
          <c:showPercent val="0"/>
          <c:showBubbleSize val="0"/>
        </c:dLbls>
        <c:marker val="1"/>
        <c:smooth val="0"/>
        <c:axId val="1214786056"/>
        <c:axId val="1214786384"/>
      </c:lineChart>
      <c:catAx>
        <c:axId val="1214786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786384"/>
        <c:crosses val="autoZero"/>
        <c:auto val="1"/>
        <c:lblAlgn val="ctr"/>
        <c:lblOffset val="100"/>
        <c:noMultiLvlLbl val="0"/>
      </c:catAx>
      <c:valAx>
        <c:axId val="1214786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Crime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47860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[FBI Crime Data.xlsm]Geopivot!PivotTable9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Population</a:t>
            </a:r>
            <a:r>
              <a:rPr lang="en-US" baseline="0"/>
              <a: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Geopivot!$B$96:$B$97</c:f>
              <c:strCache>
                <c:ptCount val="1"/>
                <c:pt idx="0">
                  <c:v>2015</c:v>
                </c:pt>
              </c:strCache>
            </c:strRef>
          </c:tx>
          <c:spPr>
            <a:solidFill>
              <a:schemeClr val="accent1"/>
            </a:solidFill>
            <a:ln>
              <a:noFill/>
            </a:ln>
            <a:effectLst/>
          </c:spPr>
          <c:invertIfNegative val="0"/>
          <c:cat>
            <c:strRef>
              <c:f>Geopivot!$A$98:$A$103</c:f>
              <c:strCache>
                <c:ptCount val="5"/>
                <c:pt idx="0">
                  <c:v>Midwest</c:v>
                </c:pt>
                <c:pt idx="1">
                  <c:v>Northeast</c:v>
                </c:pt>
                <c:pt idx="2">
                  <c:v>Puerto Rico</c:v>
                </c:pt>
                <c:pt idx="3">
                  <c:v>South  </c:v>
                </c:pt>
                <c:pt idx="4">
                  <c:v>West</c:v>
                </c:pt>
              </c:strCache>
            </c:strRef>
          </c:cat>
          <c:val>
            <c:numRef>
              <c:f>Geopivot!$B$98:$B$103</c:f>
              <c:numCache>
                <c:formatCode>#,##0;[Red]#,##0</c:formatCode>
                <c:ptCount val="5"/>
                <c:pt idx="0">
                  <c:v>67838387</c:v>
                </c:pt>
                <c:pt idx="1">
                  <c:v>56184737</c:v>
                </c:pt>
                <c:pt idx="2">
                  <c:v>3473181</c:v>
                </c:pt>
                <c:pt idx="3">
                  <c:v>121039206</c:v>
                </c:pt>
                <c:pt idx="4">
                  <c:v>75834288</c:v>
                </c:pt>
              </c:numCache>
            </c:numRef>
          </c:val>
          <c:extLst>
            <c:ext xmlns:c16="http://schemas.microsoft.com/office/drawing/2014/chart" uri="{C3380CC4-5D6E-409C-BE32-E72D297353CC}">
              <c16:uniqueId val="{00000000-9F6D-461F-A287-9023993F3AE5}"/>
            </c:ext>
          </c:extLst>
        </c:ser>
        <c:ser>
          <c:idx val="1"/>
          <c:order val="1"/>
          <c:tx>
            <c:strRef>
              <c:f>Geopivot!$C$96:$C$97</c:f>
              <c:strCache>
                <c:ptCount val="1"/>
                <c:pt idx="0">
                  <c:v>2016</c:v>
                </c:pt>
              </c:strCache>
            </c:strRef>
          </c:tx>
          <c:spPr>
            <a:solidFill>
              <a:schemeClr val="accent2"/>
            </a:solidFill>
            <a:ln>
              <a:noFill/>
            </a:ln>
            <a:effectLst/>
          </c:spPr>
          <c:invertIfNegative val="0"/>
          <c:cat>
            <c:strRef>
              <c:f>Geopivot!$A$98:$A$103</c:f>
              <c:strCache>
                <c:ptCount val="5"/>
                <c:pt idx="0">
                  <c:v>Midwest</c:v>
                </c:pt>
                <c:pt idx="1">
                  <c:v>Northeast</c:v>
                </c:pt>
                <c:pt idx="2">
                  <c:v>Puerto Rico</c:v>
                </c:pt>
                <c:pt idx="3">
                  <c:v>South  </c:v>
                </c:pt>
                <c:pt idx="4">
                  <c:v>West</c:v>
                </c:pt>
              </c:strCache>
            </c:strRef>
          </c:cat>
          <c:val>
            <c:numRef>
              <c:f>Geopivot!$C$98:$C$103</c:f>
              <c:numCache>
                <c:formatCode>#,##0;[Red]#,##0</c:formatCode>
                <c:ptCount val="5"/>
                <c:pt idx="0">
                  <c:v>67941429</c:v>
                </c:pt>
                <c:pt idx="1">
                  <c:v>56209510</c:v>
                </c:pt>
                <c:pt idx="2">
                  <c:v>3411307</c:v>
                </c:pt>
                <c:pt idx="3">
                  <c:v>122319574</c:v>
                </c:pt>
                <c:pt idx="4">
                  <c:v>76657000</c:v>
                </c:pt>
              </c:numCache>
            </c:numRef>
          </c:val>
          <c:extLst>
            <c:ext xmlns:c16="http://schemas.microsoft.com/office/drawing/2014/chart" uri="{C3380CC4-5D6E-409C-BE32-E72D297353CC}">
              <c16:uniqueId val="{00000001-9F6D-461F-A287-9023993F3AE5}"/>
            </c:ext>
          </c:extLst>
        </c:ser>
        <c:dLbls>
          <c:showLegendKey val="0"/>
          <c:showVal val="0"/>
          <c:showCatName val="0"/>
          <c:showSerName val="0"/>
          <c:showPercent val="0"/>
          <c:showBubbleSize val="0"/>
        </c:dLbls>
        <c:gapWidth val="219"/>
        <c:overlap val="-27"/>
        <c:axId val="927285104"/>
        <c:axId val="927286088"/>
      </c:barChart>
      <c:catAx>
        <c:axId val="9272851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Regions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286088"/>
        <c:crosses val="autoZero"/>
        <c:auto val="1"/>
        <c:lblAlgn val="ctr"/>
        <c:lblOffset val="100"/>
        <c:noMultiLvlLbl val="0"/>
      </c:catAx>
      <c:valAx>
        <c:axId val="927286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Population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7285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Geographic Hierarchy </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Geographic Hierarchy </a:t>
          </a:r>
        </a:p>
      </cx:txPr>
    </cx:title>
    <cx:plotArea>
      <cx:plotAreaRegion>
        <cx:series layoutId="sunburst" uniqueId="{122515AC-F7BD-4297-BE5F-ED1298CF4B31}">
          <cx:tx>
            <cx:txData>
              <cx:f>_xlchart.v1.1</cx:f>
              <cx:v>Sum of Total Crimes(rape revised)</cx:v>
            </cx:txData>
          </cx:tx>
          <cx:dataLabels pos="ctr">
            <cx:visibility seriesName="0" categoryName="1" value="0"/>
          </cx:dataLabels>
          <cx:dataId val="0"/>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xdr:col>
      <xdr:colOff>1114425</xdr:colOff>
      <xdr:row>23</xdr:row>
      <xdr:rowOff>152401</xdr:rowOff>
    </xdr:from>
    <xdr:to>
      <xdr:col>9</xdr:col>
      <xdr:colOff>0</xdr:colOff>
      <xdr:row>49</xdr:row>
      <xdr:rowOff>104775</xdr:rowOff>
    </xdr:to>
    <xdr:graphicFrame macro="">
      <xdr:nvGraphicFramePr>
        <xdr:cNvPr id="2" name="Chart 1">
          <a:extLst>
            <a:ext uri="{FF2B5EF4-FFF2-40B4-BE49-F238E27FC236}">
              <a16:creationId xmlns:a16="http://schemas.microsoft.com/office/drawing/2014/main" id="{DBAFECCA-4F7E-458A-98D6-20E4B1733F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366711</xdr:colOff>
      <xdr:row>50</xdr:row>
      <xdr:rowOff>147636</xdr:rowOff>
    </xdr:from>
    <xdr:to>
      <xdr:col>7</xdr:col>
      <xdr:colOff>742949</xdr:colOff>
      <xdr:row>72</xdr:row>
      <xdr:rowOff>180976</xdr:rowOff>
    </xdr:to>
    <xdr:graphicFrame macro="">
      <xdr:nvGraphicFramePr>
        <xdr:cNvPr id="3" name="Chart 2">
          <a:extLst>
            <a:ext uri="{FF2B5EF4-FFF2-40B4-BE49-F238E27FC236}">
              <a16:creationId xmlns:a16="http://schemas.microsoft.com/office/drawing/2014/main" id="{0C0EC50E-7B14-44AA-9444-B241B27398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219075</xdr:colOff>
      <xdr:row>10</xdr:row>
      <xdr:rowOff>47626</xdr:rowOff>
    </xdr:from>
    <xdr:to>
      <xdr:col>1</xdr:col>
      <xdr:colOff>876300</xdr:colOff>
      <xdr:row>15</xdr:row>
      <xdr:rowOff>123826</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428664A8-0594-4251-9678-3011ED371B0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19075" y="1952626"/>
              <a:ext cx="1828800" cy="1028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1285875</xdr:colOff>
      <xdr:row>9</xdr:row>
      <xdr:rowOff>57150</xdr:rowOff>
    </xdr:from>
    <xdr:to>
      <xdr:col>6</xdr:col>
      <xdr:colOff>1609725</xdr:colOff>
      <xdr:row>31</xdr:row>
      <xdr:rowOff>66675</xdr:rowOff>
    </xdr:to>
    <xdr:graphicFrame macro="">
      <xdr:nvGraphicFramePr>
        <xdr:cNvPr id="3" name="Chart 2">
          <a:extLst>
            <a:ext uri="{FF2B5EF4-FFF2-40B4-BE49-F238E27FC236}">
              <a16:creationId xmlns:a16="http://schemas.microsoft.com/office/drawing/2014/main" id="{FF88AEA8-DDA2-4B11-A1CB-92096C7595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1619250</xdr:colOff>
      <xdr:row>45</xdr:row>
      <xdr:rowOff>180975</xdr:rowOff>
    </xdr:from>
    <xdr:to>
      <xdr:col>4</xdr:col>
      <xdr:colOff>333375</xdr:colOff>
      <xdr:row>59</xdr:row>
      <xdr:rowOff>38100</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596A0398-4B91-4788-B664-B09CC16D609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495550" y="8753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43</xdr:row>
      <xdr:rowOff>85725</xdr:rowOff>
    </xdr:from>
    <xdr:to>
      <xdr:col>7</xdr:col>
      <xdr:colOff>47625</xdr:colOff>
      <xdr:row>64</xdr:row>
      <xdr:rowOff>19050</xdr:rowOff>
    </xdr:to>
    <xdr:graphicFrame macro="">
      <xdr:nvGraphicFramePr>
        <xdr:cNvPr id="5" name="Chart 4">
          <a:extLst>
            <a:ext uri="{FF2B5EF4-FFF2-40B4-BE49-F238E27FC236}">
              <a16:creationId xmlns:a16="http://schemas.microsoft.com/office/drawing/2014/main" id="{9B2B2179-FDBD-4F7E-AEDD-4E330B96B4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300037</xdr:colOff>
      <xdr:row>70</xdr:row>
      <xdr:rowOff>185737</xdr:rowOff>
    </xdr:from>
    <xdr:to>
      <xdr:col>3</xdr:col>
      <xdr:colOff>561975</xdr:colOff>
      <xdr:row>85</xdr:row>
      <xdr:rowOff>71437</xdr:rowOff>
    </xdr:to>
    <xdr:graphicFrame macro="">
      <xdr:nvGraphicFramePr>
        <xdr:cNvPr id="7" name="Chart 6">
          <a:extLst>
            <a:ext uri="{FF2B5EF4-FFF2-40B4-BE49-F238E27FC236}">
              <a16:creationId xmlns:a16="http://schemas.microsoft.com/office/drawing/2014/main" id="{9F01704D-93F7-41B4-98DC-785CADBF23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823916</xdr:colOff>
      <xdr:row>44</xdr:row>
      <xdr:rowOff>23812</xdr:rowOff>
    </xdr:from>
    <xdr:to>
      <xdr:col>12</xdr:col>
      <xdr:colOff>1085850</xdr:colOff>
      <xdr:row>67</xdr:row>
      <xdr:rowOff>152400</xdr:rowOff>
    </xdr:to>
    <xdr:graphicFrame macro="">
      <xdr:nvGraphicFramePr>
        <xdr:cNvPr id="9" name="Chart 8">
          <a:extLst>
            <a:ext uri="{FF2B5EF4-FFF2-40B4-BE49-F238E27FC236}">
              <a16:creationId xmlns:a16="http://schemas.microsoft.com/office/drawing/2014/main" id="{5098DA82-D8C1-4C7C-A950-E1D82B5E75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904875</xdr:colOff>
      <xdr:row>68</xdr:row>
      <xdr:rowOff>66675</xdr:rowOff>
    </xdr:from>
    <xdr:to>
      <xdr:col>4</xdr:col>
      <xdr:colOff>1828800</xdr:colOff>
      <xdr:row>81</xdr:row>
      <xdr:rowOff>114300</xdr:rowOff>
    </xdr:to>
    <mc:AlternateContent xmlns:mc="http://schemas.openxmlformats.org/markup-compatibility/2006" xmlns:a14="http://schemas.microsoft.com/office/drawing/2010/main">
      <mc:Choice Requires="a14">
        <xdr:graphicFrame macro="">
          <xdr:nvGraphicFramePr>
            <xdr:cNvPr id="10" name="States">
              <a:extLst>
                <a:ext uri="{FF2B5EF4-FFF2-40B4-BE49-F238E27FC236}">
                  <a16:creationId xmlns:a16="http://schemas.microsoft.com/office/drawing/2014/main" id="{4B50BAE8-9C4A-4C4B-9810-02537659E561}"/>
                </a:ext>
              </a:extLst>
            </xdr:cNvPr>
            <xdr:cNvGraphicFramePr/>
          </xdr:nvGraphicFramePr>
          <xdr:xfrm>
            <a:off x="0" y="0"/>
            <a:ext cx="0" cy="0"/>
          </xdr:xfrm>
          <a:graphic>
            <a:graphicData uri="http://schemas.microsoft.com/office/drawing/2010/slicer">
              <sle:slicer xmlns:sle="http://schemas.microsoft.com/office/drawing/2010/slicer" name="States"/>
            </a:graphicData>
          </a:graphic>
        </xdr:graphicFrame>
      </mc:Choice>
      <mc:Fallback xmlns="">
        <xdr:sp macro="" textlink="">
          <xdr:nvSpPr>
            <xdr:cNvPr id="0" name=""/>
            <xdr:cNvSpPr>
              <a:spLocks noTextEdit="1"/>
            </xdr:cNvSpPr>
          </xdr:nvSpPr>
          <xdr:spPr>
            <a:xfrm>
              <a:off x="5886450" y="13020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1528762</xdr:colOff>
      <xdr:row>68</xdr:row>
      <xdr:rowOff>119062</xdr:rowOff>
    </xdr:from>
    <xdr:to>
      <xdr:col>7</xdr:col>
      <xdr:colOff>500062</xdr:colOff>
      <xdr:row>83</xdr:row>
      <xdr:rowOff>4762</xdr:rowOff>
    </xdr:to>
    <xdr:graphicFrame macro="">
      <xdr:nvGraphicFramePr>
        <xdr:cNvPr id="11" name="Chart 10">
          <a:extLst>
            <a:ext uri="{FF2B5EF4-FFF2-40B4-BE49-F238E27FC236}">
              <a16:creationId xmlns:a16="http://schemas.microsoft.com/office/drawing/2014/main" id="{312D047B-1C17-49F4-9085-1B3CEF978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223836</xdr:colOff>
      <xdr:row>104</xdr:row>
      <xdr:rowOff>38100</xdr:rowOff>
    </xdr:from>
    <xdr:to>
      <xdr:col>4</xdr:col>
      <xdr:colOff>723899</xdr:colOff>
      <xdr:row>118</xdr:row>
      <xdr:rowOff>176212</xdr:rowOff>
    </xdr:to>
    <xdr:graphicFrame macro="">
      <xdr:nvGraphicFramePr>
        <xdr:cNvPr id="12" name="Chart 11">
          <a:extLst>
            <a:ext uri="{FF2B5EF4-FFF2-40B4-BE49-F238E27FC236}">
              <a16:creationId xmlns:a16="http://schemas.microsoft.com/office/drawing/2014/main" id="{38D5F083-6E3E-4627-BEF1-9F951F65B2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742950</xdr:colOff>
      <xdr:row>6</xdr:row>
      <xdr:rowOff>85725</xdr:rowOff>
    </xdr:from>
    <xdr:to>
      <xdr:col>16</xdr:col>
      <xdr:colOff>228600</xdr:colOff>
      <xdr:row>32</xdr:row>
      <xdr:rowOff>85725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118BD164-50AA-4485-B0BD-C13701A2438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19650" y="1228725"/>
              <a:ext cx="8915400" cy="4953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w An Truong" refreshedDate="43352.600866319444" createdVersion="6" refreshedVersion="6" minRefreshableVersion="3" recordCount="104" xr:uid="{D7AC8FEE-E70F-433D-A4DA-65754BE64ED3}">
  <cacheSource type="worksheet">
    <worksheetSource name="CrimeGeo"/>
  </cacheSource>
  <cacheFields count="17">
    <cacheField name="States" numFmtId="0">
      <sharedItems count="52">
        <s v="Connecticut"/>
        <s v="Maine"/>
        <s v="Massachusetts"/>
        <s v="New Hampshire"/>
        <s v="Rhode Island"/>
        <s v="Vermont"/>
        <s v="New Jersey"/>
        <s v="New York"/>
        <s v="Pennsylvania"/>
        <s v="Illinois"/>
        <s v="Indiana"/>
        <s v="Michigan"/>
        <s v="Ohio"/>
        <s v="Wisconsin"/>
        <s v="Iowa"/>
        <s v="Kansas"/>
        <s v="Minnesota"/>
        <s v="Missouri"/>
        <s v="Nebraska"/>
        <s v="North Dakota"/>
        <s v="South Dakota"/>
        <s v="Delaware"/>
        <s v="District of Columbia"/>
        <s v="Florida"/>
        <s v="Georgia"/>
        <s v="Maryland"/>
        <s v="North Carolina"/>
        <s v="South Carolina"/>
        <s v="Virginia"/>
        <s v="West Virginia"/>
        <s v="Alabama"/>
        <s v="Kentucky"/>
        <s v="Mississippi"/>
        <s v="Tennessee"/>
        <s v="Arkansas"/>
        <s v="Louisiana"/>
        <s v="Oklahoma"/>
        <s v="Texas"/>
        <s v="Arizona"/>
        <s v="Colorado"/>
        <s v="Idaho"/>
        <s v="Montana"/>
        <s v="Nevada"/>
        <s v="New Mexico"/>
        <s v="Utah"/>
        <s v="Wyoming"/>
        <s v="Alaska"/>
        <s v="California"/>
        <s v="Hawaii"/>
        <s v="Oregon"/>
        <s v="Washington"/>
        <s v="Puerto Rico"/>
      </sharedItems>
    </cacheField>
    <cacheField name="Region" numFmtId="0">
      <sharedItems count="5">
        <s v="Northeast"/>
        <s v="Midwest"/>
        <s v="South  "/>
        <s v="West"/>
        <s v="Puerto Rico"/>
      </sharedItems>
    </cacheField>
    <cacheField name="Sub-regions" numFmtId="0">
      <sharedItems count="10">
        <s v="New England"/>
        <s v="Mid-Atlantic"/>
        <s v="East North Central"/>
        <s v="West North Central"/>
        <s v="South Atlantic "/>
        <s v="East South Central"/>
        <s v="West South Central"/>
        <s v="Mountain"/>
        <s v="Pacific"/>
        <s v="Puerto Rico"/>
      </sharedItems>
    </cacheField>
    <cacheField name="Year" numFmtId="0">
      <sharedItems count="2">
        <s v="2015"/>
        <s v="2016"/>
      </sharedItems>
    </cacheField>
    <cacheField name="Population" numFmtId="165">
      <sharedItems containsSemiMixedTypes="0" containsString="0" containsNumber="1" containsInteger="1" minValue="585501" maxValue="39250017"/>
    </cacheField>
    <cacheField name="Violent crime" numFmtId="165">
      <sharedItems containsSemiMixedTypes="0" containsString="0" containsNumber="1" containsInteger="1" minValue="747" maxValue="174796" count="104">
        <n v="7938"/>
        <n v="8123"/>
        <n v="1726"/>
        <n v="1648"/>
        <n v="26453"/>
        <n v="25677"/>
        <n v="2692"/>
        <n v="2637"/>
        <n v="2565"/>
        <n v="2524"/>
        <n v="747"/>
        <n v="989"/>
        <n v="22879"/>
        <n v="21914"/>
        <n v="75126"/>
        <n v="74285"/>
        <n v="40348"/>
        <n v="40447"/>
        <n v="49755"/>
        <n v="55854"/>
        <n v="25373"/>
        <n v="26845"/>
        <n v="41712"/>
        <n v="45572"/>
        <n v="34373"/>
        <n v="34877"/>
        <n v="17549"/>
        <n v="17679"/>
        <n v="8619"/>
        <n v="9110"/>
        <n v="11483"/>
        <n v="11060"/>
        <n v="13319"/>
        <n v="13394"/>
        <n v="30292"/>
        <n v="31644"/>
        <n v="5167"/>
        <n v="5550"/>
        <n v="1949"/>
        <n v="1903"/>
        <n v="3302"/>
        <n v="3621"/>
        <n v="4760"/>
        <n v="4844"/>
        <n v="8538"/>
        <n v="8214"/>
        <n v="93625"/>
        <n v="88700"/>
        <n v="38891"/>
        <n v="40990"/>
        <n v="28185"/>
        <n v="28400"/>
        <n v="34734"/>
        <n v="37769"/>
        <n v="24448"/>
        <n v="24896"/>
        <n v="16705"/>
        <n v="18302"/>
        <n v="6397"/>
        <n v="6557"/>
        <n v="22957"/>
        <n v="25886"/>
        <n v="9887"/>
        <n v="10308"/>
        <n v="8190"/>
        <n v="8383"/>
        <n v="40816"/>
        <n v="42097"/>
        <n v="15769"/>
        <n v="16461"/>
        <n v="25202"/>
        <n v="26502"/>
        <n v="16746"/>
        <n v="17648"/>
        <n v="113193"/>
        <n v="121042"/>
        <n v="27968"/>
        <n v="32583"/>
        <n v="17348"/>
        <n v="18983"/>
        <n v="3593"/>
        <n v="3876"/>
        <n v="3647"/>
        <n v="3840"/>
        <n v="20118"/>
        <n v="19936"/>
        <n v="13672"/>
        <n v="14619"/>
        <n v="7138"/>
        <n v="7407"/>
        <n v="1300"/>
        <n v="1430"/>
        <n v="5391"/>
        <n v="5966"/>
        <n v="166883"/>
        <n v="174796"/>
        <n v="3530"/>
        <n v="4417"/>
        <n v="10680"/>
        <n v="10830"/>
        <n v="20505"/>
        <n v="22023"/>
        <n v="7629"/>
        <n v="7643"/>
      </sharedItems>
    </cacheField>
    <cacheField name="Murder and  nonnegligent  manslaughter" numFmtId="165">
      <sharedItems containsSemiMixedTypes="0" containsString="0" containsNumber="1" containsInteger="1" minValue="10" maxValue="1930"/>
    </cacheField>
    <cacheField name="Rape (revised definition)" numFmtId="165">
      <sharedItems containsSemiMixedTypes="0" containsString="0" containsNumber="1" containsInteger="1" minValue="150" maxValue="13702"/>
    </cacheField>
    <cacheField name="Rape (legacy definition)" numFmtId="165">
      <sharedItems containsSemiMixedTypes="0" containsString="0" containsNumber="1" containsInteger="1" minValue="104" maxValue="10149"/>
    </cacheField>
    <cacheField name="Robbery" numFmtId="165">
      <sharedItems containsSemiMixedTypes="0" containsString="0" containsNumber="1" containsInteger="1" minValue="59" maxValue="54789"/>
    </cacheField>
    <cacheField name="Aggravated assault" numFmtId="165">
      <sharedItems containsSemiMixedTypes="0" containsString="0" containsNumber="1" containsInteger="1" minValue="482" maxValue="104375"/>
    </cacheField>
    <cacheField name="Property crime" numFmtId="165">
      <sharedItems containsSemiMixedTypes="0" containsString="0" containsNumber="1" containsInteger="1" minValue="9064" maxValue="1024914"/>
    </cacheField>
    <cacheField name="Burglary" numFmtId="165">
      <sharedItems containsSemiMixedTypes="0" containsString="0" containsNumber="1" containsInteger="1" minValue="1762" maxValue="197404"/>
    </cacheField>
    <cacheField name="Larceny-theft" numFmtId="165">
      <sharedItems containsSemiMixedTypes="0" containsString="0" containsNumber="1" containsInteger="1" minValue="6834" maxValue="656517"/>
    </cacheField>
    <cacheField name="Motor vehicle theft" numFmtId="165">
      <sharedItems containsSemiMixedTypes="0" containsString="0" containsNumber="1" containsInteger="1" minValue="196" maxValue="176756"/>
    </cacheField>
    <cacheField name="Total Crimes(rape revised)" numFmtId="165">
      <sharedItems containsSemiMixedTypes="0" containsString="0" containsNumber="1" containsInteger="1" minValue="19622" maxValue="2383594"/>
    </cacheField>
    <cacheField name="Total Crime(rape legacy)" numFmtId="165">
      <sharedItems containsSemiMixedTypes="0" containsString="0" containsNumber="1" containsInteger="1" minValue="19576" maxValue="2380124"/>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drew An Truong" refreshedDate="43360.022117592591" createdVersion="6" refreshedVersion="6" minRefreshableVersion="3" recordCount="20" xr:uid="{F12B9093-EF37-4003-B401-8716778B1F5D}">
  <cacheSource type="worksheet">
    <worksheetSource name="Crime"/>
  </cacheSource>
  <cacheFields count="27">
    <cacheField name="Year" numFmtId="0">
      <sharedItems containsSemiMixedTypes="0" containsString="0" containsNumber="1" containsInteger="1" minValue="1997" maxValue="2016" count="20">
        <n v="1997"/>
        <n v="1998"/>
        <n v="1999"/>
        <n v="2000"/>
        <n v="2001"/>
        <n v="2002"/>
        <n v="2003"/>
        <n v="2004"/>
        <n v="2005"/>
        <n v="2006"/>
        <n v="2007"/>
        <n v="2008"/>
        <n v="2009"/>
        <n v="2010"/>
        <n v="2011"/>
        <n v="2012"/>
        <n v="2013"/>
        <n v="2014"/>
        <n v="2015"/>
        <n v="2016"/>
      </sharedItems>
    </cacheField>
    <cacheField name="Population1" numFmtId="165">
      <sharedItems containsSemiMixedTypes="0" containsString="0" containsNumber="1" containsInteger="1" minValue="267783607" maxValue="323127513"/>
    </cacheField>
    <cacheField name="Violent crime2" numFmtId="165">
      <sharedItems containsSemiMixedTypes="0" containsString="0" containsNumber="1" containsInteger="1" minValue="1153022" maxValue="1636096"/>
    </cacheField>
    <cacheField name="Violent  crime  rate" numFmtId="165">
      <sharedItems containsSemiMixedTypes="0" containsString="0" containsNumber="1" minValue="361.6" maxValue="611"/>
    </cacheField>
    <cacheField name="Murder and nonnegligent  manslaughter" numFmtId="165">
      <sharedItems containsSemiMixedTypes="0" containsString="0" containsNumber="1" containsInteger="1" minValue="14164" maxValue="18208"/>
    </cacheField>
    <cacheField name="Murder and  nonnegligent  manslaughter  rate" numFmtId="165">
      <sharedItems containsSemiMixedTypes="0" containsString="0" containsNumber="1" minValue="4.4000000000000004" maxValue="6.8"/>
    </cacheField>
    <cacheField name="Rape (revised  definition3)" numFmtId="165">
      <sharedItems containsString="0" containsBlank="1" containsNumber="1" containsInteger="1" minValue="113695" maxValue="130603"/>
    </cacheField>
    <cacheField name="Rape (revised  definition)  rate3" numFmtId="165">
      <sharedItems containsString="0" containsBlank="1" containsNumber="1" minValue="35.9" maxValue="40.4"/>
    </cacheField>
    <cacheField name="Rape (legacy  definition4)" numFmtId="165">
      <sharedItems containsSemiMixedTypes="0" containsString="0" containsNumber="1" containsInteger="1" minValue="82109" maxValue="96153"/>
    </cacheField>
    <cacheField name="Rape (legacy  definition)  rate4" numFmtId="165">
      <sharedItems containsSemiMixedTypes="0" containsString="0" containsNumber="1" minValue="25.9" maxValue="35.9"/>
    </cacheField>
    <cacheField name="Robbery" numFmtId="165">
      <sharedItems containsSemiMixedTypes="0" containsString="0" containsNumber="1" containsInteger="1" minValue="322905" maxValue="498534"/>
    </cacheField>
    <cacheField name="Robbery  rate" numFmtId="165">
      <sharedItems containsSemiMixedTypes="0" containsString="0" containsNumber="1" minValue="101.3" maxValue="186.2"/>
    </cacheField>
    <cacheField name="Aggravated  assault" numFmtId="165">
      <sharedItems containsSemiMixedTypes="0" containsString="0" containsNumber="1" containsInteger="1" minValue="726777" maxValue="1023201"/>
    </cacheField>
    <cacheField name="Aggravated  assault rate" numFmtId="165">
      <sharedItems containsSemiMixedTypes="0" containsString="0" containsNumber="1" minValue="229.2" maxValue="382.1"/>
    </cacheField>
    <cacheField name="Property  crime" numFmtId="165">
      <sharedItems containsSemiMixedTypes="0" containsString="0" containsNumber="1" containsInteger="1" minValue="7919035" maxValue="11558475"/>
    </cacheField>
    <cacheField name="Property  crime  rate" numFmtId="165">
      <sharedItems containsSemiMixedTypes="0" containsString="0" containsNumber="1" minValue="2450.6999999999998" maxValue="4316.3"/>
    </cacheField>
    <cacheField name="Burglary" numFmtId="165">
      <sharedItems containsSemiMixedTypes="0" containsString="0" containsNumber="1" containsInteger="1" minValue="1515096" maxValue="2460526"/>
    </cacheField>
    <cacheField name="Burglary  rate" numFmtId="165">
      <sharedItems containsSemiMixedTypes="0" containsString="0" containsNumber="1" minValue="468.9" maxValue="918.8"/>
    </cacheField>
    <cacheField name="Larceny- theft" numFmtId="165">
      <sharedItems containsSemiMixedTypes="0" containsString="0" containsNumber="1" containsInteger="1" minValue="5638455" maxValue="7743760"/>
    </cacheField>
    <cacheField name="Larceny- theft rate" numFmtId="165">
      <sharedItems containsSemiMixedTypes="0" containsString="0" containsNumber="1" minValue="1745" maxValue="2891.8"/>
    </cacheField>
    <cacheField name="Motor  vehicle  theft" numFmtId="165">
      <sharedItems containsSemiMixedTypes="0" containsString="0" containsNumber="1" containsInteger="1" minValue="686803" maxValue="1354189"/>
    </cacheField>
    <cacheField name="Motor  vehicle  theft  rate" numFmtId="165">
      <sharedItems containsSemiMixedTypes="0" containsString="0" containsNumber="1" minValue="215.4" maxValue="505.7"/>
    </cacheField>
    <cacheField name="Total(Legacy def)" numFmtId="165">
      <sharedItems containsSemiMixedTypes="0" containsString="0" containsNumber="1" containsInteger="1" minValue="18334440" maxValue="26389142" count="20">
        <n v="26389142"/>
        <n v="24971428"/>
        <n v="23268756"/>
        <n v="23216140"/>
        <n v="23753338"/>
        <n v="23757908"/>
        <n v="23653076"/>
        <n v="23358948"/>
        <n v="23130998"/>
        <n v="22909448"/>
        <n v="22610364"/>
        <n v="22337226"/>
        <n v="21325912"/>
        <n v="20727746"/>
        <n v="20517496"/>
        <n v="20438098"/>
        <n v="19640380"/>
        <n v="18724064"/>
        <n v="18446850"/>
        <n v="18334440"/>
      </sharedItems>
    </cacheField>
    <cacheField name="Total(Revised)" numFmtId="165">
      <sharedItems containsSemiMixedTypes="0" containsString="0" containsNumber="1" containsInteger="1" minValue="18369313" maxValue="26292989"/>
    </cacheField>
    <cacheField name="Total " numFmtId="0" formula="'Violent crime2'+'Murder and nonnegligent  manslaughter'+Robbery+'Aggravated  assault'+'Property  crime'+Burglary+'Larceny- theft'+'Motor  vehicle  theft'" databaseField="0"/>
    <cacheField name="Total(Revised Rape) " numFmtId="0" formula="'Violent crime2'+'Murder and nonnegligent  manslaughter'+Robbery+'Aggravated  assault'+'Property  crime'+Burglary+'Larceny- theft'+'Motor  vehicle  theft'+'Rape (revised  definition3)'" databaseField="0"/>
    <cacheField name="Total(Legacy Rape) " numFmtId="0" formula="'Violent crime2'+'Murder and nonnegligent  manslaughter'+Robbery+'Aggravated  assault'+'Property  crime'+Burglary+'Larceny- theft'+'Motor  vehicle  theft'+'Rape (legacy  definition4)'"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4">
  <r>
    <x v="0"/>
    <x v="0"/>
    <x v="0"/>
    <x v="0"/>
    <n v="3584730"/>
    <x v="0"/>
    <n v="116"/>
    <n v="798"/>
    <n v="585"/>
    <n v="2925"/>
    <n v="4099"/>
    <n v="65610"/>
    <n v="10286"/>
    <n v="48898"/>
    <n v="6426"/>
    <n v="147096"/>
    <n v="146883"/>
  </r>
  <r>
    <x v="0"/>
    <x v="0"/>
    <x v="0"/>
    <x v="1"/>
    <n v="3576452"/>
    <x v="1"/>
    <n v="78"/>
    <n v="763"/>
    <n v="561"/>
    <n v="2703"/>
    <n v="4579"/>
    <n v="64664"/>
    <n v="10045"/>
    <n v="47512"/>
    <n v="7107"/>
    <n v="145574"/>
    <n v="145372"/>
  </r>
  <r>
    <x v="1"/>
    <x v="0"/>
    <x v="0"/>
    <x v="0"/>
    <n v="1329453"/>
    <x v="2"/>
    <n v="23"/>
    <n v="461"/>
    <n v="337"/>
    <n v="311"/>
    <n v="931"/>
    <n v="24361"/>
    <n v="4694"/>
    <n v="18853"/>
    <n v="814"/>
    <n v="52174"/>
    <n v="52050"/>
  </r>
  <r>
    <x v="1"/>
    <x v="0"/>
    <x v="0"/>
    <x v="1"/>
    <n v="1331479"/>
    <x v="3"/>
    <n v="20"/>
    <n v="412"/>
    <n v="300"/>
    <n v="266"/>
    <n v="950"/>
    <n v="21912"/>
    <n v="4003"/>
    <n v="17134"/>
    <n v="775"/>
    <n v="47120"/>
    <n v="47008"/>
  </r>
  <r>
    <x v="2"/>
    <x v="0"/>
    <x v="0"/>
    <x v="0"/>
    <n v="6784240"/>
    <x v="4"/>
    <n v="131"/>
    <n v="2082"/>
    <n v="1538"/>
    <n v="5266"/>
    <n v="18974"/>
    <n v="114547"/>
    <n v="21826"/>
    <n v="84676"/>
    <n v="8045"/>
    <n v="282000"/>
    <n v="281456"/>
  </r>
  <r>
    <x v="2"/>
    <x v="0"/>
    <x v="0"/>
    <x v="1"/>
    <n v="6811779"/>
    <x v="5"/>
    <n v="134"/>
    <n v="2128"/>
    <n v="1592"/>
    <n v="5365"/>
    <n v="18050"/>
    <n v="106339"/>
    <n v="19193"/>
    <n v="79088"/>
    <n v="8058"/>
    <n v="264032"/>
    <n v="263496"/>
  </r>
  <r>
    <x v="3"/>
    <x v="0"/>
    <x v="0"/>
    <x v="0"/>
    <n v="1330111"/>
    <x v="6"/>
    <n v="15"/>
    <n v="644"/>
    <n v="468"/>
    <n v="475"/>
    <n v="1558"/>
    <n v="23453"/>
    <n v="3482"/>
    <n v="19076"/>
    <n v="895"/>
    <n v="52290"/>
    <n v="52114"/>
  </r>
  <r>
    <x v="3"/>
    <x v="0"/>
    <x v="0"/>
    <x v="1"/>
    <n v="1334795"/>
    <x v="7"/>
    <n v="17"/>
    <n v="582"/>
    <n v="423"/>
    <n v="427"/>
    <n v="1611"/>
    <n v="20194"/>
    <n v="2963"/>
    <n v="16360"/>
    <n v="871"/>
    <n v="45662"/>
    <n v="45503"/>
  </r>
  <r>
    <x v="4"/>
    <x v="0"/>
    <x v="0"/>
    <x v="0"/>
    <n v="1055607"/>
    <x v="8"/>
    <n v="31"/>
    <n v="467"/>
    <n v="342"/>
    <n v="547"/>
    <n v="1520"/>
    <n v="20038"/>
    <n v="3938"/>
    <n v="14714"/>
    <n v="1386"/>
    <n v="45206"/>
    <n v="45081"/>
  </r>
  <r>
    <x v="4"/>
    <x v="0"/>
    <x v="0"/>
    <x v="1"/>
    <n v="1056426"/>
    <x v="9"/>
    <n v="29"/>
    <n v="442"/>
    <n v="328"/>
    <n v="540"/>
    <n v="1513"/>
    <n v="20058"/>
    <n v="3788"/>
    <n v="14674"/>
    <n v="1596"/>
    <n v="45164"/>
    <n v="45050"/>
  </r>
  <r>
    <x v="5"/>
    <x v="0"/>
    <x v="0"/>
    <x v="0"/>
    <n v="626088"/>
    <x v="10"/>
    <n v="10"/>
    <n v="150"/>
    <n v="104"/>
    <n v="105"/>
    <n v="482"/>
    <n v="9064"/>
    <n v="2034"/>
    <n v="6834"/>
    <n v="196"/>
    <n v="19622"/>
    <n v="19576"/>
  </r>
  <r>
    <x v="5"/>
    <x v="0"/>
    <x v="0"/>
    <x v="1"/>
    <n v="624594"/>
    <x v="11"/>
    <n v="14"/>
    <n v="178"/>
    <n v="124"/>
    <n v="106"/>
    <n v="691"/>
    <n v="10602"/>
    <n v="2103"/>
    <n v="8217"/>
    <n v="282"/>
    <n v="23182"/>
    <n v="23128"/>
  </r>
  <r>
    <x v="6"/>
    <x v="0"/>
    <x v="1"/>
    <x v="0"/>
    <n v="8935421"/>
    <x v="12"/>
    <n v="363"/>
    <n v="1373"/>
    <n v="1019"/>
    <n v="9729"/>
    <n v="11414"/>
    <n v="145701"/>
    <n v="27960"/>
    <n v="105963"/>
    <n v="11778"/>
    <n v="337160"/>
    <n v="336806"/>
  </r>
  <r>
    <x v="6"/>
    <x v="0"/>
    <x v="1"/>
    <x v="1"/>
    <n v="8944469"/>
    <x v="13"/>
    <n v="372"/>
    <n v="1453"/>
    <n v="1089"/>
    <n v="8984"/>
    <n v="11105"/>
    <n v="138152"/>
    <n v="25284"/>
    <n v="101540"/>
    <n v="11328"/>
    <n v="320132"/>
    <n v="319768"/>
  </r>
  <r>
    <x v="7"/>
    <x v="0"/>
    <x v="1"/>
    <x v="0"/>
    <n v="19747183"/>
    <x v="14"/>
    <n v="613"/>
    <n v="6141"/>
    <n v="4414"/>
    <n v="23879"/>
    <n v="44493"/>
    <n v="317225"/>
    <n v="44117"/>
    <n v="257837"/>
    <n v="15271"/>
    <n v="784702"/>
    <n v="782975"/>
  </r>
  <r>
    <x v="7"/>
    <x v="0"/>
    <x v="1"/>
    <x v="1"/>
    <n v="19745289"/>
    <x v="15"/>
    <n v="630"/>
    <n v="6260"/>
    <n v="4569"/>
    <n v="22316"/>
    <n v="45079"/>
    <n v="305181"/>
    <n v="39821"/>
    <n v="250968"/>
    <n v="14392"/>
    <n v="758932"/>
    <n v="757241"/>
  </r>
  <r>
    <x v="8"/>
    <x v="0"/>
    <x v="1"/>
    <x v="0"/>
    <n v="12791904"/>
    <x v="16"/>
    <n v="665"/>
    <n v="4299"/>
    <n v="3105"/>
    <n v="12965"/>
    <n v="22419"/>
    <n v="231941"/>
    <n v="39573"/>
    <n v="180236"/>
    <n v="12132"/>
    <n v="544578"/>
    <n v="543384"/>
  </r>
  <r>
    <x v="8"/>
    <x v="0"/>
    <x v="1"/>
    <x v="1"/>
    <n v="12784227"/>
    <x v="17"/>
    <n v="661"/>
    <n v="4433"/>
    <n v="3233"/>
    <n v="12326"/>
    <n v="23027"/>
    <n v="222795"/>
    <n v="35520"/>
    <n v="174228"/>
    <n v="13047"/>
    <n v="526484"/>
    <n v="525284"/>
  </r>
  <r>
    <x v="9"/>
    <x v="1"/>
    <x v="2"/>
    <x v="0"/>
    <n v="12839047"/>
    <x v="18"/>
    <n v="754"/>
    <n v="4926"/>
    <n v="3602"/>
    <n v="15056"/>
    <n v="29019"/>
    <n v="256962"/>
    <n v="46846"/>
    <n v="192424"/>
    <n v="17692"/>
    <n v="613434"/>
    <n v="612110"/>
  </r>
  <r>
    <x v="9"/>
    <x v="1"/>
    <x v="2"/>
    <x v="1"/>
    <n v="12801539"/>
    <x v="19"/>
    <n v="1054"/>
    <n v="4908"/>
    <n v="3635"/>
    <n v="17827"/>
    <n v="32065"/>
    <n v="262306"/>
    <n v="47989"/>
    <n v="194407"/>
    <n v="19910"/>
    <n v="636320"/>
    <n v="635047"/>
  </r>
  <r>
    <x v="10"/>
    <x v="1"/>
    <x v="2"/>
    <x v="0"/>
    <n v="6612768"/>
    <x v="20"/>
    <n v="370"/>
    <n v="2386"/>
    <n v="1757"/>
    <n v="7081"/>
    <n v="15536"/>
    <n v="171878"/>
    <n v="34404"/>
    <n v="123940"/>
    <n v="13534"/>
    <n v="394502"/>
    <n v="393873"/>
  </r>
  <r>
    <x v="10"/>
    <x v="1"/>
    <x v="2"/>
    <x v="1"/>
    <n v="6633053"/>
    <x v="21"/>
    <n v="439"/>
    <n v="2501"/>
    <n v="1851"/>
    <n v="7330"/>
    <n v="16575"/>
    <n v="171759"/>
    <n v="34097"/>
    <n v="122931"/>
    <n v="14731"/>
    <n v="397208"/>
    <n v="396558"/>
  </r>
  <r>
    <x v="11"/>
    <x v="1"/>
    <x v="2"/>
    <x v="0"/>
    <n v="9917715"/>
    <x v="22"/>
    <n v="585"/>
    <n v="6710"/>
    <n v="4782"/>
    <n v="7818"/>
    <n v="26599"/>
    <n v="191191"/>
    <n v="40375"/>
    <n v="132019"/>
    <n v="18797"/>
    <n v="465806"/>
    <n v="463878"/>
  </r>
  <r>
    <x v="11"/>
    <x v="1"/>
    <x v="2"/>
    <x v="1"/>
    <n v="9928300"/>
    <x v="23"/>
    <n v="598"/>
    <n v="7125"/>
    <n v="5114"/>
    <n v="7120"/>
    <n v="30729"/>
    <n v="189620"/>
    <n v="39568"/>
    <n v="129876"/>
    <n v="20176"/>
    <n v="470384"/>
    <n v="468373"/>
  </r>
  <r>
    <x v="12"/>
    <x v="1"/>
    <x v="2"/>
    <x v="0"/>
    <n v="11605090"/>
    <x v="24"/>
    <n v="522"/>
    <n v="5441"/>
    <n v="3990"/>
    <n v="12617"/>
    <n v="15793"/>
    <n v="303743"/>
    <n v="69994"/>
    <n v="216354"/>
    <n v="17395"/>
    <n v="676232"/>
    <n v="674781"/>
  </r>
  <r>
    <x v="12"/>
    <x v="1"/>
    <x v="2"/>
    <x v="1"/>
    <n v="11614373"/>
    <x v="25"/>
    <n v="654"/>
    <n v="5589"/>
    <n v="4141"/>
    <n v="12523"/>
    <n v="16111"/>
    <n v="299357"/>
    <n v="66883"/>
    <n v="212807"/>
    <n v="19667"/>
    <n v="668468"/>
    <n v="667020"/>
  </r>
  <r>
    <x v="13"/>
    <x v="1"/>
    <x v="2"/>
    <x v="0"/>
    <n v="5767891"/>
    <x v="26"/>
    <n v="240"/>
    <n v="1805"/>
    <n v="1324"/>
    <n v="5234"/>
    <n v="10270"/>
    <n v="114171"/>
    <n v="19602"/>
    <n v="83572"/>
    <n v="10997"/>
    <n v="263440"/>
    <n v="262959"/>
  </r>
  <r>
    <x v="13"/>
    <x v="1"/>
    <x v="2"/>
    <x v="1"/>
    <n v="5778708"/>
    <x v="27"/>
    <n v="229"/>
    <n v="1979"/>
    <n v="1458"/>
    <n v="4706"/>
    <n v="10765"/>
    <n v="111720"/>
    <n v="19425"/>
    <n v="82337"/>
    <n v="9958"/>
    <n v="258798"/>
    <n v="258277"/>
  </r>
  <r>
    <x v="14"/>
    <x v="1"/>
    <x v="3"/>
    <x v="0"/>
    <n v="3121997"/>
    <x v="28"/>
    <n v="73"/>
    <n v="1205"/>
    <n v="877"/>
    <n v="1050"/>
    <n v="6291"/>
    <n v="64688"/>
    <n v="14977"/>
    <n v="45328"/>
    <n v="4383"/>
    <n v="146614"/>
    <n v="146286"/>
  </r>
  <r>
    <x v="14"/>
    <x v="1"/>
    <x v="3"/>
    <x v="1"/>
    <n v="3134693"/>
    <x v="29"/>
    <n v="71"/>
    <n v="1247"/>
    <n v="922"/>
    <n v="1148"/>
    <n v="6644"/>
    <n v="65391"/>
    <n v="15030"/>
    <n v="45378"/>
    <n v="4983"/>
    <n v="149002"/>
    <n v="148677"/>
  </r>
  <r>
    <x v="15"/>
    <x v="1"/>
    <x v="3"/>
    <x v="0"/>
    <n v="2906721"/>
    <x v="30"/>
    <n v="126"/>
    <n v="1684"/>
    <n v="1226"/>
    <n v="1823"/>
    <n v="7850"/>
    <n v="80059"/>
    <n v="15619"/>
    <n v="57435"/>
    <n v="7005"/>
    <n v="183084"/>
    <n v="182626"/>
  </r>
  <r>
    <x v="15"/>
    <x v="1"/>
    <x v="3"/>
    <x v="1"/>
    <n v="2907289"/>
    <x v="31"/>
    <n v="111"/>
    <n v="1312"/>
    <n v="971"/>
    <n v="1671"/>
    <n v="7966"/>
    <n v="78367"/>
    <n v="14364"/>
    <n v="57066"/>
    <n v="6937"/>
    <n v="178854"/>
    <n v="178513"/>
  </r>
  <r>
    <x v="16"/>
    <x v="1"/>
    <x v="3"/>
    <x v="0"/>
    <n v="5482435"/>
    <x v="32"/>
    <n v="133"/>
    <n v="2321"/>
    <n v="1679"/>
    <n v="3771"/>
    <n v="7094"/>
    <n v="121984"/>
    <n v="19299"/>
    <n v="94704"/>
    <n v="7981"/>
    <n v="270606"/>
    <n v="269964"/>
  </r>
  <r>
    <x v="16"/>
    <x v="1"/>
    <x v="3"/>
    <x v="1"/>
    <n v="5519952"/>
    <x v="33"/>
    <n v="101"/>
    <n v="2348"/>
    <n v="1731"/>
    <n v="3728"/>
    <n v="7217"/>
    <n v="117756"/>
    <n v="18606"/>
    <n v="90422"/>
    <n v="8728"/>
    <n v="262300"/>
    <n v="261683"/>
  </r>
  <r>
    <x v="17"/>
    <x v="1"/>
    <x v="3"/>
    <x v="0"/>
    <n v="6076204"/>
    <x v="34"/>
    <n v="503"/>
    <n v="2573"/>
    <n v="1858"/>
    <n v="6383"/>
    <n v="20833"/>
    <n v="173788"/>
    <n v="34029"/>
    <n v="122749"/>
    <n v="17010"/>
    <n v="408160"/>
    <n v="407445"/>
  </r>
  <r>
    <x v="17"/>
    <x v="1"/>
    <x v="3"/>
    <x v="1"/>
    <n v="6093000"/>
    <x v="35"/>
    <n v="537"/>
    <n v="2554"/>
    <n v="1884"/>
    <n v="6570"/>
    <n v="21983"/>
    <n v="170549"/>
    <n v="31710"/>
    <n v="120544"/>
    <n v="18295"/>
    <n v="404386"/>
    <n v="403716"/>
  </r>
  <r>
    <x v="18"/>
    <x v="1"/>
    <x v="3"/>
    <x v="0"/>
    <n v="1893765"/>
    <x v="36"/>
    <n v="62"/>
    <n v="885"/>
    <n v="648"/>
    <n v="994"/>
    <n v="3226"/>
    <n v="42597"/>
    <n v="6443"/>
    <n v="32148"/>
    <n v="4006"/>
    <n v="95528"/>
    <n v="95291"/>
  </r>
  <r>
    <x v="18"/>
    <x v="1"/>
    <x v="3"/>
    <x v="1"/>
    <n v="1907116"/>
    <x v="37"/>
    <n v="49"/>
    <n v="994"/>
    <n v="738"/>
    <n v="946"/>
    <n v="3561"/>
    <n v="43163"/>
    <n v="6444"/>
    <n v="31994"/>
    <n v="4725"/>
    <n v="97426"/>
    <n v="97170"/>
  </r>
  <r>
    <x v="19"/>
    <x v="1"/>
    <x v="3"/>
    <x v="0"/>
    <n v="756835"/>
    <x v="38"/>
    <n v="21"/>
    <n v="391"/>
    <n v="285"/>
    <n v="159"/>
    <n v="1378"/>
    <n v="17716"/>
    <n v="3296"/>
    <n v="12686"/>
    <n v="1734"/>
    <n v="39330"/>
    <n v="39224"/>
  </r>
  <r>
    <x v="19"/>
    <x v="1"/>
    <x v="3"/>
    <x v="1"/>
    <n v="757952"/>
    <x v="39"/>
    <n v="15"/>
    <n v="342"/>
    <n v="256"/>
    <n v="181"/>
    <n v="1365"/>
    <n v="17402"/>
    <n v="3243"/>
    <n v="12195"/>
    <n v="1964"/>
    <n v="38610"/>
    <n v="38524"/>
  </r>
  <r>
    <x v="20"/>
    <x v="1"/>
    <x v="3"/>
    <x v="0"/>
    <n v="857919"/>
    <x v="40"/>
    <n v="33"/>
    <n v="500"/>
    <n v="367"/>
    <n v="215"/>
    <n v="2554"/>
    <n v="16739"/>
    <n v="2969"/>
    <n v="12576"/>
    <n v="1194"/>
    <n v="40082"/>
    <n v="39949"/>
  </r>
  <r>
    <x v="20"/>
    <x v="1"/>
    <x v="3"/>
    <x v="1"/>
    <n v="865454"/>
    <x v="41"/>
    <n v="27"/>
    <n v="509"/>
    <n v="379"/>
    <n v="272"/>
    <n v="2813"/>
    <n v="17141"/>
    <n v="3000"/>
    <n v="12639"/>
    <n v="1502"/>
    <n v="41524"/>
    <n v="41394"/>
  </r>
  <r>
    <x v="21"/>
    <x v="2"/>
    <x v="4"/>
    <x v="0"/>
    <n v="944076"/>
    <x v="42"/>
    <n v="62"/>
    <n v="361"/>
    <n v="257"/>
    <n v="1240"/>
    <n v="3097"/>
    <n v="25545"/>
    <n v="4797"/>
    <n v="19555"/>
    <n v="1193"/>
    <n v="60610"/>
    <n v="60506"/>
  </r>
  <r>
    <x v="21"/>
    <x v="2"/>
    <x v="4"/>
    <x v="1"/>
    <n v="952065"/>
    <x v="43"/>
    <n v="56"/>
    <n v="308"/>
    <n v="221"/>
    <n v="1359"/>
    <n v="3121"/>
    <n v="26334"/>
    <n v="5023"/>
    <n v="19791"/>
    <n v="1520"/>
    <n v="62356"/>
    <n v="62269"/>
  </r>
  <r>
    <x v="22"/>
    <x v="2"/>
    <x v="4"/>
    <x v="0"/>
    <n v="670377"/>
    <x v="44"/>
    <n v="162"/>
    <n v="494"/>
    <n v="365"/>
    <n v="3746"/>
    <n v="4136"/>
    <n v="31444"/>
    <n v="2971"/>
    <n v="25208"/>
    <n v="3265"/>
    <n v="79964"/>
    <n v="79835"/>
  </r>
  <r>
    <x v="22"/>
    <x v="2"/>
    <x v="4"/>
    <x v="1"/>
    <n v="681170"/>
    <x v="45"/>
    <n v="139"/>
    <n v="532"/>
    <n v="401"/>
    <n v="3480"/>
    <n v="4063"/>
    <n v="32716"/>
    <n v="2361"/>
    <n v="27382"/>
    <n v="2973"/>
    <n v="81860"/>
    <n v="81729"/>
  </r>
  <r>
    <x v="23"/>
    <x v="2"/>
    <x v="4"/>
    <x v="0"/>
    <n v="20244914"/>
    <x v="46"/>
    <n v="1041"/>
    <n v="7552"/>
    <n v="5396"/>
    <n v="21137"/>
    <n v="63895"/>
    <n v="570270"/>
    <n v="109268"/>
    <n v="420341"/>
    <n v="40661"/>
    <n v="1327790"/>
    <n v="1325634"/>
  </r>
  <r>
    <x v="23"/>
    <x v="2"/>
    <x v="4"/>
    <x v="1"/>
    <n v="20612439"/>
    <x v="47"/>
    <n v="1111"/>
    <n v="7598"/>
    <n v="5528"/>
    <n v="20175"/>
    <n v="59816"/>
    <n v="553812"/>
    <n v="100325"/>
    <n v="410352"/>
    <n v="43135"/>
    <n v="1285024"/>
    <n v="1282954"/>
  </r>
  <r>
    <x v="24"/>
    <x v="2"/>
    <x v="4"/>
    <x v="0"/>
    <n v="10199398"/>
    <x v="48"/>
    <n v="622"/>
    <n v="3257"/>
    <n v="2343"/>
    <n v="12545"/>
    <n v="22467"/>
    <n v="316013"/>
    <n v="68149"/>
    <n v="220715"/>
    <n v="27149"/>
    <n v="709808"/>
    <n v="708894"/>
  </r>
  <r>
    <x v="24"/>
    <x v="2"/>
    <x v="4"/>
    <x v="1"/>
    <n v="10310371"/>
    <x v="49"/>
    <n v="681"/>
    <n v="3509"/>
    <n v="2528"/>
    <n v="12205"/>
    <n v="24595"/>
    <n v="309770"/>
    <n v="63344"/>
    <n v="219625"/>
    <n v="26801"/>
    <n v="701520"/>
    <n v="700539"/>
  </r>
  <r>
    <x v="25"/>
    <x v="2"/>
    <x v="4"/>
    <x v="0"/>
    <n v="5994983"/>
    <x v="50"/>
    <n v="538"/>
    <n v="1717"/>
    <n v="1209"/>
    <n v="10111"/>
    <n v="15819"/>
    <n v="142547"/>
    <n v="26432"/>
    <n v="102701"/>
    <n v="13414"/>
    <n v="341464"/>
    <n v="340956"/>
  </r>
  <r>
    <x v="25"/>
    <x v="2"/>
    <x v="4"/>
    <x v="1"/>
    <n v="6016447"/>
    <x v="51"/>
    <n v="481"/>
    <n v="1756"/>
    <n v="1266"/>
    <n v="10289"/>
    <n v="15874"/>
    <n v="137445"/>
    <n v="24692"/>
    <n v="100919"/>
    <n v="11834"/>
    <n v="331690"/>
    <n v="331200"/>
  </r>
  <r>
    <x v="26"/>
    <x v="2"/>
    <x v="4"/>
    <x v="0"/>
    <n v="10035186"/>
    <x v="52"/>
    <n v="517"/>
    <n v="2591"/>
    <n v="1886"/>
    <n v="8821"/>
    <n v="22805"/>
    <n v="275915"/>
    <n v="74760"/>
    <n v="187732"/>
    <n v="13423"/>
    <n v="621298"/>
    <n v="620593"/>
  </r>
  <r>
    <x v="26"/>
    <x v="2"/>
    <x v="4"/>
    <x v="1"/>
    <n v="10146788"/>
    <x v="53"/>
    <n v="678"/>
    <n v="2849"/>
    <n v="2086"/>
    <n v="9336"/>
    <n v="24906"/>
    <n v="277765"/>
    <n v="72082"/>
    <n v="190377"/>
    <n v="15306"/>
    <n v="631068"/>
    <n v="630305"/>
  </r>
  <r>
    <x v="27"/>
    <x v="2"/>
    <x v="4"/>
    <x v="0"/>
    <n v="4894834"/>
    <x v="54"/>
    <n v="407"/>
    <n v="2439"/>
    <n v="1717"/>
    <n v="3950"/>
    <n v="17652"/>
    <n v="162830"/>
    <n v="34942"/>
    <n v="114778"/>
    <n v="13110"/>
    <n v="374556"/>
    <n v="373834"/>
  </r>
  <r>
    <x v="27"/>
    <x v="2"/>
    <x v="4"/>
    <x v="1"/>
    <n v="4961119"/>
    <x v="55"/>
    <n v="366"/>
    <n v="2387"/>
    <n v="1711"/>
    <n v="4035"/>
    <n v="18108"/>
    <n v="160928"/>
    <n v="32976"/>
    <n v="114032"/>
    <n v="13920"/>
    <n v="371648"/>
    <n v="370972"/>
  </r>
  <r>
    <x v="28"/>
    <x v="2"/>
    <x v="4"/>
    <x v="0"/>
    <n v="8367587"/>
    <x v="56"/>
    <n v="390"/>
    <n v="2499"/>
    <n v="1767"/>
    <n v="4459"/>
    <n v="9357"/>
    <n v="157803"/>
    <n v="21542"/>
    <n v="128064"/>
    <n v="8197"/>
    <n v="349016"/>
    <n v="348284"/>
  </r>
  <r>
    <x v="28"/>
    <x v="2"/>
    <x v="4"/>
    <x v="1"/>
    <n v="8411808"/>
    <x v="57"/>
    <n v="484"/>
    <n v="2737"/>
    <n v="1965"/>
    <n v="4803"/>
    <n v="10278"/>
    <n v="156412"/>
    <n v="20018"/>
    <n v="126606"/>
    <n v="9788"/>
    <n v="349428"/>
    <n v="348656"/>
  </r>
  <r>
    <x v="29"/>
    <x v="2"/>
    <x v="4"/>
    <x v="0"/>
    <n v="1841053"/>
    <x v="58"/>
    <n v="85"/>
    <n v="710"/>
    <n v="493"/>
    <n v="783"/>
    <n v="4819"/>
    <n v="38694"/>
    <n v="9467"/>
    <n v="26984"/>
    <n v="2243"/>
    <n v="90182"/>
    <n v="89965"/>
  </r>
  <r>
    <x v="29"/>
    <x v="2"/>
    <x v="4"/>
    <x v="1"/>
    <n v="1831102"/>
    <x v="59"/>
    <n v="81"/>
    <n v="657"/>
    <n v="468"/>
    <n v="720"/>
    <n v="5099"/>
    <n v="37487"/>
    <n v="9301"/>
    <n v="25677"/>
    <n v="2509"/>
    <n v="88088"/>
    <n v="87899"/>
  </r>
  <r>
    <x v="30"/>
    <x v="2"/>
    <x v="5"/>
    <x v="0"/>
    <n v="4853875"/>
    <x v="60"/>
    <n v="348"/>
    <n v="2037"/>
    <n v="1449"/>
    <n v="4612"/>
    <n v="15960"/>
    <n v="144785"/>
    <n v="35265"/>
    <n v="99182"/>
    <n v="10338"/>
    <n v="335484"/>
    <n v="334896"/>
  </r>
  <r>
    <x v="30"/>
    <x v="2"/>
    <x v="5"/>
    <x v="1"/>
    <n v="4863300"/>
    <x v="61"/>
    <n v="407"/>
    <n v="1916"/>
    <n v="1385"/>
    <n v="4686"/>
    <n v="18877"/>
    <n v="143362"/>
    <n v="34065"/>
    <n v="97574"/>
    <n v="11723"/>
    <n v="338496"/>
    <n v="337965"/>
  </r>
  <r>
    <x v="31"/>
    <x v="2"/>
    <x v="5"/>
    <x v="0"/>
    <n v="4424611"/>
    <x v="62"/>
    <n v="219"/>
    <n v="1644"/>
    <n v="1165"/>
    <n v="3314"/>
    <n v="4710"/>
    <n v="97545"/>
    <n v="22526"/>
    <n v="67143"/>
    <n v="7876"/>
    <n v="214864"/>
    <n v="214385"/>
  </r>
  <r>
    <x v="31"/>
    <x v="2"/>
    <x v="5"/>
    <x v="1"/>
    <n v="4436974"/>
    <x v="63"/>
    <n v="260"/>
    <n v="1641"/>
    <n v="1174"/>
    <n v="3369"/>
    <n v="5038"/>
    <n v="97158"/>
    <n v="20834"/>
    <n v="66438"/>
    <n v="9886"/>
    <n v="214932"/>
    <n v="214465"/>
  </r>
  <r>
    <x v="32"/>
    <x v="2"/>
    <x v="5"/>
    <x v="0"/>
    <n v="2989390"/>
    <x v="64"/>
    <n v="253"/>
    <n v="1158"/>
    <n v="851"/>
    <n v="2312"/>
    <n v="4467"/>
    <n v="85785"/>
    <n v="25068"/>
    <n v="56446"/>
    <n v="4271"/>
    <n v="187950"/>
    <n v="187643"/>
  </r>
  <r>
    <x v="32"/>
    <x v="2"/>
    <x v="5"/>
    <x v="1"/>
    <n v="2988726"/>
    <x v="65"/>
    <n v="238"/>
    <n v="1277"/>
    <n v="905"/>
    <n v="2397"/>
    <n v="4471"/>
    <n v="82732"/>
    <n v="23354"/>
    <n v="55054"/>
    <n v="4324"/>
    <n v="182230"/>
    <n v="181858"/>
  </r>
  <r>
    <x v="33"/>
    <x v="2"/>
    <x v="5"/>
    <x v="0"/>
    <n v="6595056"/>
    <x v="66"/>
    <n v="418"/>
    <n v="2801"/>
    <n v="2032"/>
    <n v="7499"/>
    <n v="30098"/>
    <n v="196047"/>
    <n v="43753"/>
    <n v="139259"/>
    <n v="13035"/>
    <n v="473726"/>
    <n v="472957"/>
  </r>
  <r>
    <x v="33"/>
    <x v="2"/>
    <x v="5"/>
    <x v="1"/>
    <n v="6651194"/>
    <x v="67"/>
    <n v="486"/>
    <n v="2714"/>
    <n v="1991"/>
    <n v="7813"/>
    <n v="31084"/>
    <n v="189835"/>
    <n v="40312"/>
    <n v="134404"/>
    <n v="15119"/>
    <n v="463864"/>
    <n v="463141"/>
  </r>
  <r>
    <x v="34"/>
    <x v="2"/>
    <x v="6"/>
    <x v="0"/>
    <n v="2977853"/>
    <x v="68"/>
    <n v="189"/>
    <n v="2008"/>
    <n v="1425"/>
    <n v="2117"/>
    <n v="11455"/>
    <n v="97391"/>
    <n v="22851"/>
    <n v="68720"/>
    <n v="5820"/>
    <n v="226320"/>
    <n v="225737"/>
  </r>
  <r>
    <x v="34"/>
    <x v="2"/>
    <x v="6"/>
    <x v="1"/>
    <n v="2988248"/>
    <x v="69"/>
    <n v="216"/>
    <n v="2143"/>
    <n v="1545"/>
    <n v="2120"/>
    <n v="11982"/>
    <n v="97673"/>
    <n v="23771"/>
    <n v="66747"/>
    <n v="7155"/>
    <n v="228268"/>
    <n v="227670"/>
  </r>
  <r>
    <x v="35"/>
    <x v="2"/>
    <x v="6"/>
    <x v="0"/>
    <n v="4668960"/>
    <x v="70"/>
    <n v="492"/>
    <n v="1733"/>
    <n v="1246"/>
    <n v="5561"/>
    <n v="17416"/>
    <n v="157708"/>
    <n v="35457"/>
    <n v="112520"/>
    <n v="9731"/>
    <n v="365820"/>
    <n v="365333"/>
  </r>
  <r>
    <x v="35"/>
    <x v="2"/>
    <x v="6"/>
    <x v="1"/>
    <n v="4681666"/>
    <x v="71"/>
    <n v="554"/>
    <n v="1816"/>
    <n v="1328"/>
    <n v="5576"/>
    <n v="18556"/>
    <n v="154386"/>
    <n v="34667"/>
    <n v="109380"/>
    <n v="10339"/>
    <n v="361776"/>
    <n v="361288"/>
  </r>
  <r>
    <x v="36"/>
    <x v="2"/>
    <x v="6"/>
    <x v="0"/>
    <n v="3907414"/>
    <x v="72"/>
    <n v="240"/>
    <n v="1953"/>
    <n v="1418"/>
    <n v="3018"/>
    <n v="11535"/>
    <n v="114055"/>
    <n v="28783"/>
    <n v="74678"/>
    <n v="10594"/>
    <n v="261602"/>
    <n v="261067"/>
  </r>
  <r>
    <x v="36"/>
    <x v="2"/>
    <x v="6"/>
    <x v="1"/>
    <n v="3923561"/>
    <x v="73"/>
    <n v="245"/>
    <n v="2039"/>
    <n v="1509"/>
    <n v="3162"/>
    <n v="12202"/>
    <n v="117037"/>
    <n v="29103"/>
    <n v="75779"/>
    <n v="12155"/>
    <n v="269370"/>
    <n v="268840"/>
  </r>
  <r>
    <x v="37"/>
    <x v="2"/>
    <x v="6"/>
    <x v="0"/>
    <n v="27429639"/>
    <x v="74"/>
    <n v="1317"/>
    <n v="12323"/>
    <n v="8941"/>
    <n v="31924"/>
    <n v="67629"/>
    <n v="779234"/>
    <n v="153067"/>
    <n v="558653"/>
    <n v="67514"/>
    <n v="1784854"/>
    <n v="1781472"/>
  </r>
  <r>
    <x v="37"/>
    <x v="2"/>
    <x v="6"/>
    <x v="1"/>
    <n v="27862596"/>
    <x v="75"/>
    <n v="1478"/>
    <n v="13367"/>
    <n v="9858"/>
    <n v="33317"/>
    <n v="72880"/>
    <n v="768947"/>
    <n v="148740"/>
    <n v="551151"/>
    <n v="69056"/>
    <n v="1779978"/>
    <n v="1776469"/>
  </r>
  <r>
    <x v="38"/>
    <x v="3"/>
    <x v="7"/>
    <x v="0"/>
    <n v="6817565"/>
    <x v="76"/>
    <n v="306"/>
    <n v="3109"/>
    <n v="2268"/>
    <n v="6360"/>
    <n v="18193"/>
    <n v="207184"/>
    <n v="38010"/>
    <n v="152388"/>
    <n v="16786"/>
    <n v="470304"/>
    <n v="469463"/>
  </r>
  <r>
    <x v="38"/>
    <x v="3"/>
    <x v="7"/>
    <x v="1"/>
    <n v="6931071"/>
    <x v="77"/>
    <n v="380"/>
    <n v="3290"/>
    <n v="2452"/>
    <n v="7055"/>
    <n v="21858"/>
    <n v="206432"/>
    <n v="37736"/>
    <n v="150275"/>
    <n v="18421"/>
    <n v="478030"/>
    <n v="477192"/>
  </r>
  <r>
    <x v="39"/>
    <x v="3"/>
    <x v="7"/>
    <x v="0"/>
    <n v="5448819"/>
    <x v="78"/>
    <n v="173"/>
    <n v="3328"/>
    <n v="2422"/>
    <n v="3315"/>
    <n v="10532"/>
    <n v="144044"/>
    <n v="23490"/>
    <n v="104532"/>
    <n v="16022"/>
    <n v="322784"/>
    <n v="321878"/>
  </r>
  <r>
    <x v="39"/>
    <x v="3"/>
    <x v="7"/>
    <x v="1"/>
    <n v="5540545"/>
    <x v="79"/>
    <n v="204"/>
    <n v="3555"/>
    <n v="2619"/>
    <n v="3528"/>
    <n v="11696"/>
    <n v="151850"/>
    <n v="23903"/>
    <n v="108336"/>
    <n v="19611"/>
    <n v="341666"/>
    <n v="340730"/>
  </r>
  <r>
    <x v="40"/>
    <x v="3"/>
    <x v="7"/>
    <x v="0"/>
    <n v="1652828"/>
    <x v="80"/>
    <n v="32"/>
    <n v="703"/>
    <n v="508"/>
    <n v="191"/>
    <n v="2667"/>
    <n v="28912"/>
    <n v="6124"/>
    <n v="20916"/>
    <n v="1872"/>
    <n v="65010"/>
    <n v="64815"/>
  </r>
  <r>
    <x v="40"/>
    <x v="3"/>
    <x v="7"/>
    <x v="1"/>
    <n v="1683140"/>
    <x v="81"/>
    <n v="49"/>
    <n v="719"/>
    <n v="529"/>
    <n v="213"/>
    <n v="2895"/>
    <n v="29357"/>
    <n v="6318"/>
    <n v="20962"/>
    <n v="2077"/>
    <n v="66466"/>
    <n v="66276"/>
  </r>
  <r>
    <x v="41"/>
    <x v="3"/>
    <x v="7"/>
    <x v="0"/>
    <n v="1032073"/>
    <x v="82"/>
    <n v="38"/>
    <n v="572"/>
    <n v="405"/>
    <n v="210"/>
    <n v="2827"/>
    <n v="27276"/>
    <n v="3887"/>
    <n v="20966"/>
    <n v="2423"/>
    <n v="61846"/>
    <n v="61679"/>
  </r>
  <r>
    <x v="41"/>
    <x v="3"/>
    <x v="7"/>
    <x v="1"/>
    <n v="1042520"/>
    <x v="83"/>
    <n v="36"/>
    <n v="578"/>
    <n v="414"/>
    <n v="266"/>
    <n v="2960"/>
    <n v="27976"/>
    <n v="3934"/>
    <n v="21299"/>
    <n v="2743"/>
    <n v="63632"/>
    <n v="63468"/>
  </r>
  <r>
    <x v="42"/>
    <x v="3"/>
    <x v="7"/>
    <x v="0"/>
    <n v="2883758"/>
    <x v="84"/>
    <n v="178"/>
    <n v="1688"/>
    <n v="1232"/>
    <n v="6287"/>
    <n v="11965"/>
    <n v="77137"/>
    <n v="22360"/>
    <n v="43426"/>
    <n v="11351"/>
    <n v="194510"/>
    <n v="194054"/>
  </r>
  <r>
    <x v="42"/>
    <x v="3"/>
    <x v="7"/>
    <x v="1"/>
    <n v="2940058"/>
    <x v="85"/>
    <n v="224"/>
    <n v="1733"/>
    <n v="1292"/>
    <n v="6340"/>
    <n v="11639"/>
    <n v="76047"/>
    <n v="18850"/>
    <n v="44017"/>
    <n v="13180"/>
    <n v="191966"/>
    <n v="191525"/>
  </r>
  <r>
    <x v="43"/>
    <x v="3"/>
    <x v="7"/>
    <x v="0"/>
    <n v="2080328"/>
    <x v="86"/>
    <n v="117"/>
    <n v="1663"/>
    <n v="1218"/>
    <n v="2485"/>
    <n v="9407"/>
    <n v="77212"/>
    <n v="17084"/>
    <n v="51485"/>
    <n v="8643"/>
    <n v="181768"/>
    <n v="181323"/>
  </r>
  <r>
    <x v="43"/>
    <x v="3"/>
    <x v="7"/>
    <x v="1"/>
    <n v="2081015"/>
    <x v="87"/>
    <n v="139"/>
    <n v="1526"/>
    <n v="1117"/>
    <n v="2737"/>
    <n v="10217"/>
    <n v="81931"/>
    <n v="17281"/>
    <n v="52907"/>
    <n v="11743"/>
    <n v="193100"/>
    <n v="192691"/>
  </r>
  <r>
    <x v="44"/>
    <x v="3"/>
    <x v="7"/>
    <x v="0"/>
    <n v="2990632"/>
    <x v="88"/>
    <n v="57"/>
    <n v="1704"/>
    <n v="1247"/>
    <n v="1329"/>
    <n v="4048"/>
    <n v="89797"/>
    <n v="12606"/>
    <n v="68464"/>
    <n v="8727"/>
    <n v="193870"/>
    <n v="193413"/>
  </r>
  <r>
    <x v="44"/>
    <x v="3"/>
    <x v="7"/>
    <x v="1"/>
    <n v="3051217"/>
    <x v="89"/>
    <n v="72"/>
    <n v="1520"/>
    <n v="1116"/>
    <n v="1541"/>
    <n v="4274"/>
    <n v="90058"/>
    <n v="12836"/>
    <n v="67834"/>
    <n v="9388"/>
    <n v="194930"/>
    <n v="194526"/>
  </r>
  <r>
    <x v="45"/>
    <x v="3"/>
    <x v="7"/>
    <x v="0"/>
    <n v="586555"/>
    <x v="90"/>
    <n v="16"/>
    <n v="171"/>
    <n v="124"/>
    <n v="59"/>
    <n v="1054"/>
    <n v="11151"/>
    <n v="1762"/>
    <n v="8797"/>
    <n v="592"/>
    <n v="24902"/>
    <n v="24855"/>
  </r>
  <r>
    <x v="45"/>
    <x v="3"/>
    <x v="7"/>
    <x v="1"/>
    <n v="585501"/>
    <x v="91"/>
    <n v="20"/>
    <n v="205"/>
    <n v="150"/>
    <n v="59"/>
    <n v="1146"/>
    <n v="11460"/>
    <n v="1771"/>
    <n v="8889"/>
    <n v="800"/>
    <n v="25780"/>
    <n v="25725"/>
  </r>
  <r>
    <x v="46"/>
    <x v="3"/>
    <x v="8"/>
    <x v="0"/>
    <n v="737709"/>
    <x v="92"/>
    <n v="59"/>
    <n v="900"/>
    <n v="648"/>
    <n v="761"/>
    <n v="3671"/>
    <n v="20806"/>
    <n v="3511"/>
    <n v="15249"/>
    <n v="2046"/>
    <n v="52394"/>
    <n v="52142"/>
  </r>
  <r>
    <x v="46"/>
    <x v="3"/>
    <x v="8"/>
    <x v="1"/>
    <n v="741894"/>
    <x v="93"/>
    <n v="52"/>
    <n v="1053"/>
    <n v="757"/>
    <n v="850"/>
    <n v="4011"/>
    <n v="24876"/>
    <n v="4053"/>
    <n v="17766"/>
    <n v="3057"/>
    <n v="61684"/>
    <n v="61388"/>
  </r>
  <r>
    <x v="47"/>
    <x v="3"/>
    <x v="8"/>
    <x v="0"/>
    <n v="38993940"/>
    <x v="94"/>
    <n v="1861"/>
    <n v="12811"/>
    <n v="9341"/>
    <n v="52862"/>
    <n v="99349"/>
    <n v="1024914"/>
    <n v="197404"/>
    <n v="656517"/>
    <n v="170993"/>
    <n v="2383594"/>
    <n v="2380124"/>
  </r>
  <r>
    <x v="47"/>
    <x v="3"/>
    <x v="8"/>
    <x v="1"/>
    <n v="39250017"/>
    <x v="95"/>
    <n v="1930"/>
    <n v="13702"/>
    <n v="10149"/>
    <n v="54789"/>
    <n v="104375"/>
    <n v="1002070"/>
    <n v="188304"/>
    <n v="637010"/>
    <n v="176756"/>
    <n v="2353732"/>
    <n v="2350179"/>
  </r>
  <r>
    <x v="48"/>
    <x v="3"/>
    <x v="8"/>
    <x v="0"/>
    <n v="1425157"/>
    <x v="96"/>
    <n v="29"/>
    <n v="538"/>
    <n v="382"/>
    <n v="1085"/>
    <n v="1878"/>
    <n v="45389"/>
    <n v="6810"/>
    <n v="33140"/>
    <n v="5439"/>
    <n v="97838"/>
    <n v="97682"/>
  </r>
  <r>
    <x v="48"/>
    <x v="3"/>
    <x v="8"/>
    <x v="1"/>
    <n v="1428557"/>
    <x v="97"/>
    <n v="35"/>
    <n v="619"/>
    <n v="447"/>
    <n v="994"/>
    <n v="2769"/>
    <n v="42753"/>
    <n v="6017"/>
    <n v="31082"/>
    <n v="5654"/>
    <n v="94340"/>
    <n v="94168"/>
  </r>
  <r>
    <x v="49"/>
    <x v="3"/>
    <x v="8"/>
    <x v="0"/>
    <n v="4024634"/>
    <x v="98"/>
    <n v="110"/>
    <n v="1650"/>
    <n v="1193"/>
    <n v="2163"/>
    <n v="6757"/>
    <n v="119752"/>
    <n v="18541"/>
    <n v="90514"/>
    <n v="10697"/>
    <n v="260864"/>
    <n v="260407"/>
  </r>
  <r>
    <x v="49"/>
    <x v="3"/>
    <x v="8"/>
    <x v="1"/>
    <n v="4093465"/>
    <x v="99"/>
    <n v="113"/>
    <n v="1721"/>
    <n v="1261"/>
    <n v="2278"/>
    <n v="6718"/>
    <n v="121345"/>
    <n v="16866"/>
    <n v="91286"/>
    <n v="13193"/>
    <n v="264350"/>
    <n v="263890"/>
  </r>
  <r>
    <x v="50"/>
    <x v="3"/>
    <x v="8"/>
    <x v="0"/>
    <n v="7160290"/>
    <x v="100"/>
    <n v="218"/>
    <n v="2778"/>
    <n v="2006"/>
    <n v="5450"/>
    <n v="12059"/>
    <n v="249474"/>
    <n v="51114"/>
    <n v="171393"/>
    <n v="26967"/>
    <n v="539958"/>
    <n v="539186"/>
  </r>
  <r>
    <x v="50"/>
    <x v="3"/>
    <x v="8"/>
    <x v="1"/>
    <n v="7288000"/>
    <x v="101"/>
    <n v="195"/>
    <n v="3077"/>
    <n v="2259"/>
    <n v="5651"/>
    <n v="13100"/>
    <n v="254653"/>
    <n v="49180"/>
    <n v="173187"/>
    <n v="32286"/>
    <n v="553352"/>
    <n v="552534"/>
  </r>
  <r>
    <x v="51"/>
    <x v="4"/>
    <x v="9"/>
    <x v="0"/>
    <n v="3473181"/>
    <x v="102"/>
    <n v="584"/>
    <n v="165"/>
    <n v="123"/>
    <n v="4070"/>
    <n v="2810"/>
    <n v="37717"/>
    <n v="9150"/>
    <n v="24493"/>
    <n v="4074"/>
    <n v="90692"/>
    <n v="90650"/>
  </r>
  <r>
    <x v="51"/>
    <x v="4"/>
    <x v="9"/>
    <x v="1"/>
    <n v="3411307"/>
    <x v="103"/>
    <n v="679"/>
    <n v="169"/>
    <n v="128"/>
    <n v="3201"/>
    <n v="3594"/>
    <n v="35201"/>
    <n v="8251"/>
    <n v="23163"/>
    <n v="3787"/>
    <n v="85688"/>
    <n v="8564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n v="267783607"/>
    <n v="1636096"/>
    <n v="611"/>
    <n v="18208"/>
    <n v="6.8"/>
    <m/>
    <m/>
    <n v="96153"/>
    <n v="35.9"/>
    <n v="498534"/>
    <n v="186.2"/>
    <n v="1023201"/>
    <n v="382.1"/>
    <n v="11558475"/>
    <n v="4316.3"/>
    <n v="2460526"/>
    <n v="918.8"/>
    <n v="7743760"/>
    <n v="2891.8"/>
    <n v="1354189"/>
    <n v="505.7"/>
    <x v="0"/>
    <n v="26292989"/>
  </r>
  <r>
    <x v="1"/>
    <n v="270248003"/>
    <n v="1533887"/>
    <n v="567.6"/>
    <n v="16974"/>
    <n v="6.3"/>
    <m/>
    <m/>
    <n v="93144"/>
    <n v="34.5"/>
    <n v="447186"/>
    <n v="165.5"/>
    <n v="976583"/>
    <n v="361.4"/>
    <n v="10951827"/>
    <n v="4052.5"/>
    <n v="2332735"/>
    <n v="863.2"/>
    <n v="7376311"/>
    <n v="2729.5"/>
    <n v="1242781"/>
    <n v="459.9"/>
    <x v="1"/>
    <n v="24878284"/>
  </r>
  <r>
    <x v="2"/>
    <n v="272690813"/>
    <n v="1426044"/>
    <n v="523"/>
    <n v="15522"/>
    <n v="5.7"/>
    <m/>
    <m/>
    <n v="89411"/>
    <n v="32.799999999999997"/>
    <n v="409371"/>
    <n v="150.1"/>
    <n v="911740"/>
    <n v="334.3"/>
    <n v="10208334"/>
    <n v="3743.6"/>
    <n v="2100739"/>
    <n v="770.4"/>
    <n v="6955520"/>
    <n v="2550.6999999999998"/>
    <n v="1152075"/>
    <n v="422.5"/>
    <x v="2"/>
    <n v="23179345"/>
  </r>
  <r>
    <x v="3"/>
    <n v="281421906"/>
    <n v="1425486"/>
    <n v="506.5"/>
    <n v="15586"/>
    <n v="5.5"/>
    <m/>
    <m/>
    <n v="90178"/>
    <n v="32"/>
    <n v="408016"/>
    <n v="145"/>
    <n v="911706"/>
    <n v="324"/>
    <n v="10182584"/>
    <n v="3618.3"/>
    <n v="2050992"/>
    <n v="728.8"/>
    <n v="6971590"/>
    <n v="2477.3000000000002"/>
    <n v="1160002"/>
    <n v="412.2"/>
    <x v="3"/>
    <n v="23125962"/>
  </r>
  <r>
    <x v="4"/>
    <n v="285317559"/>
    <n v="1439480"/>
    <n v="504.5"/>
    <n v="16037"/>
    <n v="5.6"/>
    <m/>
    <m/>
    <n v="90863"/>
    <n v="31.8"/>
    <n v="423557"/>
    <n v="148.5"/>
    <n v="909023"/>
    <n v="318.60000000000002"/>
    <n v="10437189"/>
    <n v="3658.1"/>
    <n v="2116531"/>
    <n v="741.8"/>
    <n v="7092267"/>
    <n v="2485.6999999999998"/>
    <n v="1228391"/>
    <n v="430.5"/>
    <x v="4"/>
    <n v="23662475"/>
  </r>
  <r>
    <x v="5"/>
    <n v="287973924"/>
    <n v="1423677"/>
    <n v="494.4"/>
    <n v="16229"/>
    <n v="5.6"/>
    <m/>
    <m/>
    <n v="95235"/>
    <n v="33.1"/>
    <n v="420806"/>
    <n v="146.1"/>
    <n v="891407"/>
    <n v="309.5"/>
    <n v="10455277"/>
    <n v="3630.6"/>
    <n v="2151252"/>
    <n v="747"/>
    <n v="7057379"/>
    <n v="2450.6999999999998"/>
    <n v="1246646"/>
    <n v="432.9"/>
    <x v="5"/>
    <n v="23662673"/>
  </r>
  <r>
    <x v="6"/>
    <n v="290788976"/>
    <n v="1383676"/>
    <n v="475.8"/>
    <n v="16528"/>
    <n v="5.7"/>
    <m/>
    <m/>
    <n v="93883"/>
    <n v="32.299999999999997"/>
    <n v="414235"/>
    <n v="142.5"/>
    <n v="859030"/>
    <n v="295.39999999999998"/>
    <n v="10442862"/>
    <n v="3591.2"/>
    <n v="2154834"/>
    <n v="741"/>
    <n v="7026802"/>
    <n v="2416.5"/>
    <n v="1261226"/>
    <n v="433.7"/>
    <x v="6"/>
    <n v="23559193"/>
  </r>
  <r>
    <x v="7"/>
    <n v="293656842"/>
    <n v="1360088"/>
    <n v="463.2"/>
    <n v="16148"/>
    <n v="5.5"/>
    <m/>
    <m/>
    <n v="95089"/>
    <n v="32.4"/>
    <n v="401470"/>
    <n v="136.69999999999999"/>
    <n v="847381"/>
    <n v="288.60000000000002"/>
    <n v="10319386"/>
    <n v="3514.1"/>
    <n v="2144446"/>
    <n v="730.3"/>
    <n v="6937089"/>
    <n v="2362.3000000000002"/>
    <n v="1237851"/>
    <n v="421.5"/>
    <x v="7"/>
    <n v="23263859"/>
  </r>
  <r>
    <x v="8"/>
    <n v="296507061"/>
    <n v="1390745"/>
    <n v="469"/>
    <n v="16740"/>
    <n v="5.6"/>
    <m/>
    <m/>
    <n v="94347"/>
    <n v="31.8"/>
    <n v="417438"/>
    <n v="140.80000000000001"/>
    <n v="862220"/>
    <n v="290.8"/>
    <n v="10174754"/>
    <n v="3431.5"/>
    <n v="2155448"/>
    <n v="726.9"/>
    <n v="6783447"/>
    <n v="2287.8000000000002"/>
    <n v="1235859"/>
    <n v="416.8"/>
    <x v="8"/>
    <n v="23036651"/>
  </r>
  <r>
    <x v="9"/>
    <n v="299398484"/>
    <n v="1435123"/>
    <n v="479.3"/>
    <n v="17309"/>
    <n v="5.8"/>
    <m/>
    <m/>
    <n v="94472"/>
    <n v="31.6"/>
    <n v="449246"/>
    <n v="150"/>
    <n v="874096"/>
    <n v="292"/>
    <n v="10019601"/>
    <n v="3346.6"/>
    <n v="2194993"/>
    <n v="733.1"/>
    <n v="6626363"/>
    <n v="2213.1999999999998"/>
    <n v="1198245"/>
    <n v="400.2"/>
    <x v="9"/>
    <n v="22814976"/>
  </r>
  <r>
    <x v="10"/>
    <n v="301621157"/>
    <n v="1422970"/>
    <n v="471.8"/>
    <n v="17128"/>
    <n v="5.7"/>
    <m/>
    <m/>
    <n v="92160"/>
    <n v="30.6"/>
    <n v="447324"/>
    <n v="148.30000000000001"/>
    <n v="866358"/>
    <n v="287.2"/>
    <n v="9882212"/>
    <n v="3276.4"/>
    <n v="2190198"/>
    <n v="726.1"/>
    <n v="6591542"/>
    <n v="2185.4"/>
    <n v="1100472"/>
    <n v="364.9"/>
    <x v="10"/>
    <n v="22518204"/>
  </r>
  <r>
    <x v="11"/>
    <n v="304059724"/>
    <n v="1394461"/>
    <n v="458.6"/>
    <n v="16465"/>
    <n v="5.4"/>
    <m/>
    <m/>
    <n v="90750"/>
    <n v="29.8"/>
    <n v="443563"/>
    <n v="145.9"/>
    <n v="843683"/>
    <n v="277.5"/>
    <n v="9774152"/>
    <n v="3214.6"/>
    <n v="2228887"/>
    <n v="733"/>
    <n v="6586206"/>
    <n v="2166.1"/>
    <n v="959059"/>
    <n v="315.39999999999998"/>
    <x v="11"/>
    <n v="22246476"/>
  </r>
  <r>
    <x v="12"/>
    <n v="307006550"/>
    <n v="1325896"/>
    <n v="431.9"/>
    <n v="15399"/>
    <n v="5"/>
    <m/>
    <m/>
    <n v="89241"/>
    <n v="29.1"/>
    <n v="408742"/>
    <n v="133.1"/>
    <n v="812514"/>
    <n v="264.7"/>
    <n v="9337060"/>
    <n v="3041.3"/>
    <n v="2203313"/>
    <n v="717.7"/>
    <n v="6338095"/>
    <n v="2064.5"/>
    <n v="795652"/>
    <n v="259.2"/>
    <x v="12"/>
    <n v="21236671"/>
  </r>
  <r>
    <x v="13"/>
    <n v="309330219"/>
    <n v="1251248"/>
    <n v="404.5"/>
    <n v="14722"/>
    <n v="4.8"/>
    <m/>
    <m/>
    <n v="85593"/>
    <n v="27.7"/>
    <n v="369089"/>
    <n v="119.3"/>
    <n v="781844"/>
    <n v="252.8"/>
    <n v="9112625"/>
    <n v="2945.9"/>
    <n v="2168459"/>
    <n v="701"/>
    <n v="6204601"/>
    <n v="2005.8"/>
    <n v="739565"/>
    <n v="239.1"/>
    <x v="13"/>
    <n v="20642153"/>
  </r>
  <r>
    <x v="14"/>
    <n v="311587816"/>
    <n v="1206005"/>
    <n v="387.1"/>
    <n v="14661"/>
    <n v="4.7"/>
    <m/>
    <m/>
    <n v="84175"/>
    <n v="27"/>
    <n v="354746"/>
    <n v="113.9"/>
    <n v="752423"/>
    <n v="241.5"/>
    <n v="9052743"/>
    <n v="2905.4"/>
    <n v="2185140"/>
    <n v="701.3"/>
    <n v="6151095"/>
    <n v="1974.1"/>
    <n v="716508"/>
    <n v="230"/>
    <x v="14"/>
    <n v="20433321"/>
  </r>
  <r>
    <x v="15"/>
    <n v="313873685"/>
    <n v="1217057"/>
    <n v="387.8"/>
    <n v="14856"/>
    <n v="4.7"/>
    <m/>
    <m/>
    <n v="85141"/>
    <n v="27.1"/>
    <n v="355051"/>
    <n v="113.1"/>
    <n v="762009"/>
    <n v="242.8"/>
    <n v="9001992"/>
    <n v="2868"/>
    <n v="2109932"/>
    <n v="672.2"/>
    <n v="6168874"/>
    <n v="1965.4"/>
    <n v="723186"/>
    <n v="230.4"/>
    <x v="15"/>
    <n v="20352957"/>
  </r>
  <r>
    <x v="16"/>
    <n v="316497531"/>
    <n v="1168298"/>
    <n v="369.1"/>
    <n v="14319"/>
    <n v="4.5"/>
    <n v="113695"/>
    <n v="35.9"/>
    <n v="82109"/>
    <n v="25.9"/>
    <n v="345093"/>
    <n v="109"/>
    <n v="726777"/>
    <n v="229.6"/>
    <n v="8651892"/>
    <n v="2733.6"/>
    <n v="1932139"/>
    <n v="610.5"/>
    <n v="6019465"/>
    <n v="1901.9"/>
    <n v="700288"/>
    <n v="221.3"/>
    <x v="16"/>
    <n v="19671966"/>
  </r>
  <r>
    <x v="17"/>
    <n v="318907401"/>
    <n v="1153022"/>
    <n v="361.6"/>
    <n v="14164"/>
    <n v="4.4000000000000004"/>
    <n v="118027"/>
    <n v="37"/>
    <n v="84864"/>
    <n v="26.6"/>
    <n v="322905"/>
    <n v="101.3"/>
    <n v="731089"/>
    <n v="229.2"/>
    <n v="8209010"/>
    <n v="2574.1"/>
    <n v="1713153"/>
    <n v="537.20000000000005"/>
    <n v="5809054"/>
    <n v="1821.5"/>
    <n v="686803"/>
    <n v="215.4"/>
    <x v="17"/>
    <n v="18757227"/>
  </r>
  <r>
    <x v="18"/>
    <n v="320896618"/>
    <n v="1199310"/>
    <n v="373.7"/>
    <n v="15883"/>
    <n v="4.9000000000000004"/>
    <n v="126134"/>
    <n v="39.299999999999997"/>
    <n v="91261"/>
    <n v="28.4"/>
    <n v="328109"/>
    <n v="102.2"/>
    <n v="764057"/>
    <n v="238.1"/>
    <n v="8024115"/>
    <n v="2500.5"/>
    <n v="1587564"/>
    <n v="494.7"/>
    <n v="5723488"/>
    <n v="1783.6"/>
    <n v="713063"/>
    <n v="222.2"/>
    <x v="18"/>
    <n v="18481723"/>
  </r>
  <r>
    <x v="19"/>
    <n v="323127513"/>
    <n v="1248185"/>
    <n v="386.3"/>
    <n v="17250"/>
    <n v="5.3"/>
    <n v="130603"/>
    <n v="40.4"/>
    <n v="95730"/>
    <n v="29.6"/>
    <n v="332198"/>
    <n v="102.8"/>
    <n v="803007"/>
    <n v="248.5"/>
    <n v="7919035"/>
    <n v="2450.6999999999998"/>
    <n v="1515096"/>
    <n v="468.9"/>
    <n v="5638455"/>
    <n v="1745"/>
    <n v="765484"/>
    <n v="236.9"/>
    <x v="19"/>
    <n v="183693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A971D1-2A9F-4FC3-92CF-8865D06CB57E}" name="PivotTable2" cacheId="9"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3">
  <location ref="A52:C72" firstHeaderRow="0" firstDataRow="1" firstDataCol="1"/>
  <pivotFields count="27">
    <pivotField axis="axisRow" showAll="0">
      <items count="21">
        <item x="0"/>
        <item x="1"/>
        <item x="2"/>
        <item x="3"/>
        <item x="4"/>
        <item x="5"/>
        <item x="6"/>
        <item x="7"/>
        <item x="8"/>
        <item x="9"/>
        <item x="10"/>
        <item x="11"/>
        <item x="12"/>
        <item x="13"/>
        <item x="14"/>
        <item x="15"/>
        <item x="16"/>
        <item x="17"/>
        <item x="18"/>
        <item x="19"/>
        <item t="default"/>
      </items>
    </pivotField>
    <pivotField numFmtId="164" showAll="0"/>
    <pivotField numFmtId="164" showAll="0"/>
    <pivotField numFmtId="164" showAll="0"/>
    <pivotField numFmtId="164" showAll="0"/>
    <pivotField numFmtId="164" showAll="0"/>
    <pivotField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5" showAll="0"/>
    <pivotField dataField="1" numFmtId="165" showAll="0"/>
    <pivotField dragToRow="0" dragToCol="0" dragToPage="0" showAll="0" defaultSubtotal="0"/>
    <pivotField dragToRow="0" dragToCol="0" dragToPage="0" showAll="0" defaultSubtotal="0"/>
    <pivotField dragToRow="0" dragToCol="0" dragToPage="0" showAll="0" defaultSubtotal="0"/>
  </pivotFields>
  <rowFields count="1">
    <field x="0"/>
  </rowFields>
  <rowItems count="20">
    <i>
      <x/>
    </i>
    <i>
      <x v="1"/>
    </i>
    <i>
      <x v="2"/>
    </i>
    <i>
      <x v="3"/>
    </i>
    <i>
      <x v="4"/>
    </i>
    <i>
      <x v="5"/>
    </i>
    <i>
      <x v="6"/>
    </i>
    <i>
      <x v="7"/>
    </i>
    <i>
      <x v="8"/>
    </i>
    <i>
      <x v="9"/>
    </i>
    <i>
      <x v="10"/>
    </i>
    <i>
      <x v="11"/>
    </i>
    <i>
      <x v="12"/>
    </i>
    <i>
      <x v="13"/>
    </i>
    <i>
      <x v="14"/>
    </i>
    <i>
      <x v="15"/>
    </i>
    <i>
      <x v="16"/>
    </i>
    <i>
      <x v="17"/>
    </i>
    <i>
      <x v="18"/>
    </i>
    <i>
      <x v="19"/>
    </i>
  </rowItems>
  <colFields count="1">
    <field x="-2"/>
  </colFields>
  <colItems count="2">
    <i>
      <x/>
    </i>
    <i i="1">
      <x v="1"/>
    </i>
  </colItems>
  <dataFields count="2">
    <dataField name="Sum of Total(Legacy def)" fld="22" baseField="0" baseItem="0"/>
    <dataField name="Sum of Total(Revised)" fld="23" baseField="0" baseItem="0"/>
  </dataFields>
  <formats count="4">
    <format dxfId="43">
      <pivotArea collapsedLevelsAreSubtotals="1" fieldPosition="0">
        <references count="1">
          <reference field="0" count="19">
            <x v="1"/>
            <x v="2"/>
            <x v="3"/>
            <x v="4"/>
            <x v="5"/>
            <x v="6"/>
            <x v="7"/>
            <x v="8"/>
            <x v="9"/>
            <x v="10"/>
            <x v="11"/>
            <x v="12"/>
            <x v="13"/>
            <x v="14"/>
            <x v="15"/>
            <x v="16"/>
            <x v="17"/>
            <x v="18"/>
            <x v="19"/>
          </reference>
        </references>
      </pivotArea>
    </format>
    <format dxfId="42">
      <pivotArea grandRow="1" outline="0" collapsedLevelsAreSubtotals="1" fieldPosition="0"/>
    </format>
    <format dxfId="5">
      <pivotArea collapsedLevelsAreSubtotals="1" fieldPosition="0">
        <references count="1">
          <reference field="0" count="1">
            <x v="0"/>
          </reference>
        </references>
      </pivotArea>
    </format>
    <format dxfId="4">
      <pivotArea outline="0" collapsedLevelsAreSubtotals="1" fieldPosition="0"/>
    </format>
  </formats>
  <chartFormats count="2">
    <chartFormat chart="2" format="3"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F4DA7F7-FB4B-4CA8-9ECF-C2C3F8ED0823}" name="PivotTable1" cacheId="9"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
  <location ref="A3:K23" firstHeaderRow="0" firstDataRow="1" firstDataCol="1"/>
  <pivotFields count="27">
    <pivotField axis="axisRow" compact="0" outline="0" showAll="0">
      <items count="21">
        <item x="0"/>
        <item x="1"/>
        <item x="2"/>
        <item x="3"/>
        <item x="4"/>
        <item x="5"/>
        <item x="6"/>
        <item x="7"/>
        <item x="8"/>
        <item x="9"/>
        <item x="10"/>
        <item x="11"/>
        <item x="12"/>
        <item x="13"/>
        <item x="14"/>
        <item x="15"/>
        <item x="16"/>
        <item x="17"/>
        <item x="18"/>
        <item x="19"/>
        <item t="default"/>
      </items>
    </pivotField>
    <pivotField compact="0" numFmtId="164" outline="0" showAll="0"/>
    <pivotField dataField="1" compact="0" numFmtId="164" outline="0" showAll="0"/>
    <pivotField compact="0" numFmtId="164" outline="0" showAll="0"/>
    <pivotField dataField="1" compact="0" numFmtId="164" outline="0" showAll="0"/>
    <pivotField compact="0" numFmtId="164" outline="0" showAll="0"/>
    <pivotField dataField="1" compact="0" outline="0" showAll="0"/>
    <pivotField compact="0" outline="0" showAll="0"/>
    <pivotField dataField="1" compact="0" numFmtId="164" outline="0" showAll="0"/>
    <pivotField compact="0" numFmtId="164" outline="0" showAll="0"/>
    <pivotField dataField="1" compact="0" numFmtId="164" outline="0" showAll="0"/>
    <pivotField compact="0" numFmtId="164" outline="0" showAll="0"/>
    <pivotField dataField="1" compact="0" numFmtId="164" outline="0" showAll="0"/>
    <pivotField compact="0" numFmtId="164" outline="0" showAll="0"/>
    <pivotField dataField="1" compact="0" numFmtId="164" outline="0" showAll="0"/>
    <pivotField compact="0" numFmtId="164" outline="0" showAll="0"/>
    <pivotField dataField="1" compact="0" numFmtId="164" outline="0" showAll="0"/>
    <pivotField compact="0" numFmtId="164" outline="0" showAll="0"/>
    <pivotField dataField="1" compact="0" numFmtId="164" outline="0" showAll="0"/>
    <pivotField compact="0" numFmtId="164" outline="0" showAll="0"/>
    <pivotField dataField="1" compact="0" numFmtId="164" outline="0" showAll="0"/>
    <pivotField compact="0" numFmtId="164" outline="0" showAll="0"/>
    <pivotField compact="0" numFmtId="165" outline="0" showAll="0"/>
    <pivotField compact="0" numFmtId="165" outline="0" showAl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0"/>
  </rowFields>
  <rowItems count="20">
    <i>
      <x/>
    </i>
    <i>
      <x v="1"/>
    </i>
    <i>
      <x v="2"/>
    </i>
    <i>
      <x v="3"/>
    </i>
    <i>
      <x v="4"/>
    </i>
    <i>
      <x v="5"/>
    </i>
    <i>
      <x v="6"/>
    </i>
    <i>
      <x v="7"/>
    </i>
    <i>
      <x v="8"/>
    </i>
    <i>
      <x v="9"/>
    </i>
    <i>
      <x v="10"/>
    </i>
    <i>
      <x v="11"/>
    </i>
    <i>
      <x v="12"/>
    </i>
    <i>
      <x v="13"/>
    </i>
    <i>
      <x v="14"/>
    </i>
    <i>
      <x v="15"/>
    </i>
    <i>
      <x v="16"/>
    </i>
    <i>
      <x v="17"/>
    </i>
    <i>
      <x v="18"/>
    </i>
    <i>
      <x v="19"/>
    </i>
  </rowItems>
  <colFields count="1">
    <field x="-2"/>
  </colFields>
  <colItems count="10">
    <i>
      <x/>
    </i>
    <i i="1">
      <x v="1"/>
    </i>
    <i i="2">
      <x v="2"/>
    </i>
    <i i="3">
      <x v="3"/>
    </i>
    <i i="4">
      <x v="4"/>
    </i>
    <i i="5">
      <x v="5"/>
    </i>
    <i i="6">
      <x v="6"/>
    </i>
    <i i="7">
      <x v="7"/>
    </i>
    <i i="8">
      <x v="8"/>
    </i>
    <i i="9">
      <x v="9"/>
    </i>
  </colItems>
  <dataFields count="10">
    <dataField name="Sum of Violent crime2" fld="2" baseField="0" baseItem="0" numFmtId="164"/>
    <dataField name="Sum of Murder and nonnegligent  manslaughter" fld="4" baseField="0" baseItem="0" numFmtId="164"/>
    <dataField name="Sum of Robbery" fld="10" baseField="0" baseItem="0" numFmtId="164"/>
    <dataField name="Sum of Aggravated  assault" fld="12" baseField="0" baseItem="0" numFmtId="164"/>
    <dataField name="Sum of Rape (legacy  definition4)" fld="8" baseField="0" baseItem="0"/>
    <dataField name="Sum of Rape (revised  definition3)" fld="6" baseField="0" baseItem="0"/>
    <dataField name="Sum of Property  crime" fld="14" baseField="0" baseItem="0" numFmtId="164"/>
    <dataField name="Sum of Burglary" fld="16" baseField="0" baseItem="0" numFmtId="164"/>
    <dataField name="Sum of Larceny- theft" fld="18" baseField="0" baseItem="0" numFmtId="164"/>
    <dataField name="Sum of Motor  vehicle  theft" fld="20" baseField="0" baseItem="0" numFmtId="164"/>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6"/>
          </reference>
        </references>
      </pivotArea>
    </chartFormat>
    <chartFormat chart="0" format="5" series="1">
      <pivotArea type="data" outline="0" fieldPosition="0">
        <references count="1">
          <reference field="4294967294" count="1" selected="0">
            <x v="7"/>
          </reference>
        </references>
      </pivotArea>
    </chartFormat>
    <chartFormat chart="0" format="6" series="1">
      <pivotArea type="data" outline="0" fieldPosition="0">
        <references count="1">
          <reference field="4294967294" count="1" selected="0">
            <x v="8"/>
          </reference>
        </references>
      </pivotArea>
    </chartFormat>
    <chartFormat chart="0" format="7" series="1">
      <pivotArea type="data" outline="0" fieldPosition="0">
        <references count="1">
          <reference field="4294967294" count="1" selected="0">
            <x v="9"/>
          </reference>
        </references>
      </pivotArea>
    </chartFormat>
    <chartFormat chart="0" format="9" series="1">
      <pivotArea type="data" outline="0" fieldPosition="0">
        <references count="1">
          <reference field="4294967294" count="1" selected="0">
            <x v="4"/>
          </reference>
        </references>
      </pivotArea>
    </chartFormat>
    <chartFormat chart="0" format="10" series="1">
      <pivotArea type="data" outline="0" fieldPosition="0">
        <references count="1">
          <reference field="429496729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A633A14-4E65-4CB2-B067-1504BE085CB4}" name="PivotTable1"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55:C76" firstHeaderRow="0" firstDataRow="1" firstDataCol="1"/>
  <pivotFields count="27">
    <pivotField axis="axisRow" showAll="0">
      <items count="21">
        <item x="0"/>
        <item x="1"/>
        <item x="2"/>
        <item x="3"/>
        <item x="4"/>
        <item x="5"/>
        <item x="6"/>
        <item x="7"/>
        <item x="8"/>
        <item x="9"/>
        <item x="10"/>
        <item x="11"/>
        <item x="12"/>
        <item x="13"/>
        <item x="14"/>
        <item x="15"/>
        <item x="16"/>
        <item x="17"/>
        <item x="18"/>
        <item x="19"/>
        <item t="default"/>
      </items>
    </pivotField>
    <pivotField numFmtId="164" showAll="0"/>
    <pivotField numFmtId="164" showAll="0"/>
    <pivotField numFmtId="164" showAll="0"/>
    <pivotField numFmtId="164" showAll="0"/>
    <pivotField numFmtId="164" showAll="0"/>
    <pivotField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5" showAll="0">
      <items count="21">
        <item x="19"/>
        <item x="18"/>
        <item x="17"/>
        <item x="16"/>
        <item x="15"/>
        <item x="14"/>
        <item x="13"/>
        <item x="12"/>
        <item x="11"/>
        <item x="10"/>
        <item x="9"/>
        <item x="8"/>
        <item x="3"/>
        <item x="2"/>
        <item x="7"/>
        <item x="6"/>
        <item x="4"/>
        <item x="5"/>
        <item x="1"/>
        <item x="0"/>
        <item t="default"/>
      </items>
    </pivotField>
    <pivotField dataField="1" numFmtId="165" showAll="0"/>
    <pivotField dragToRow="0" dragToCol="0" dragToPage="0" showAll="0" defaultSubtotal="0"/>
    <pivotField dragToRow="0" dragToCol="0" dragToPage="0" showAll="0" defaultSubtotal="0"/>
    <pivotField dragToRow="0" dragToCol="0" dragToPage="0" showAll="0" defaultSubtotal="0"/>
  </pivotFields>
  <rowFields count="1">
    <field x="0"/>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2">
    <i>
      <x/>
    </i>
    <i i="1">
      <x v="1"/>
    </i>
  </colItems>
  <dataFields count="2">
    <dataField name="Sum of Total(Legacy def)" fld="22" baseField="0" baseItem="0"/>
    <dataField name="Sum of Total(Revised)" fld="23"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A43839-804F-4CE4-85FA-C995223F8338}" name="PivotTable3"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4" firstHeaderRow="0" firstDataRow="1" firstDataCol="1"/>
  <pivotFields count="27">
    <pivotField axis="axisRow" showAll="0">
      <items count="21">
        <item x="0"/>
        <item x="1"/>
        <item x="2"/>
        <item x="3"/>
        <item x="4"/>
        <item x="5"/>
        <item x="6"/>
        <item x="7"/>
        <item x="8"/>
        <item x="9"/>
        <item x="10"/>
        <item x="11"/>
        <item x="12"/>
        <item x="13"/>
        <item x="14"/>
        <item x="15"/>
        <item x="16"/>
        <item x="17"/>
        <item x="18"/>
        <item x="19"/>
        <item t="default"/>
      </items>
    </pivotField>
    <pivotField numFmtId="164" showAll="0"/>
    <pivotField dataField="1" numFmtId="164" showAll="0"/>
    <pivotField numFmtId="164" showAll="0"/>
    <pivotField dataField="1" numFmtId="164" showAll="0"/>
    <pivotField numFmtId="164" showAll="0"/>
    <pivotField dataField="1" showAll="0"/>
    <pivotField showAll="0"/>
    <pivotField dataField="1" numFmtId="164" showAll="0"/>
    <pivotField numFmtId="164" showAll="0"/>
    <pivotField dataField="1" numFmtId="164" showAll="0"/>
    <pivotField numFmtId="164" showAll="0"/>
    <pivotField dataField="1" numFmtId="164" showAll="0"/>
    <pivotField numFmtId="164" showAll="0"/>
    <pivotField dataField="1" numFmtId="164" showAll="0"/>
    <pivotField numFmtId="164" showAll="0"/>
    <pivotField dataField="1" numFmtId="164" showAll="0"/>
    <pivotField numFmtId="164" showAll="0"/>
    <pivotField dataField="1" numFmtId="164" showAll="0"/>
    <pivotField numFmtId="164" showAll="0"/>
    <pivotField dataField="1" numFmtId="164" showAll="0"/>
    <pivotField numFmtId="164" showAll="0"/>
    <pivotField numFmtId="165" showAll="0"/>
    <pivotField numFmtId="165" showAll="0"/>
    <pivotField dragToRow="0" dragToCol="0" dragToPage="0" showAll="0" defaultSubtotal="0"/>
    <pivotField dragToRow="0" dragToCol="0" dragToPage="0" showAll="0" defaultSubtotal="0"/>
    <pivotField dragToRow="0" dragToCol="0" dragToPage="0" showAll="0" defaultSubtotal="0"/>
  </pivotFields>
  <rowFields count="1">
    <field x="0"/>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10">
    <i>
      <x/>
    </i>
    <i i="1">
      <x v="1"/>
    </i>
    <i i="2">
      <x v="2"/>
    </i>
    <i i="3">
      <x v="3"/>
    </i>
    <i i="4">
      <x v="4"/>
    </i>
    <i i="5">
      <x v="5"/>
    </i>
    <i i="6">
      <x v="6"/>
    </i>
    <i i="7">
      <x v="7"/>
    </i>
    <i i="8">
      <x v="8"/>
    </i>
    <i i="9">
      <x v="9"/>
    </i>
  </colItems>
  <dataFields count="10">
    <dataField name="Sum of Violent crime2" fld="2" baseField="0" baseItem="0"/>
    <dataField name="Sum of Murder and nonnegligent  manslaughter" fld="4" baseField="0" baseItem="0"/>
    <dataField name="Sum of Rape (revised  definition3)" fld="6" baseField="0" baseItem="0"/>
    <dataField name="Sum of Rape (legacy  definition4)" fld="8" baseField="0" baseItem="0"/>
    <dataField name="Sum of Robbery" fld="10" baseField="0" baseItem="0"/>
    <dataField name="Sum of Aggravated  assault" fld="12" baseField="0" baseItem="0"/>
    <dataField name="Sum of Property  crime" fld="14" baseField="0" baseItem="0"/>
    <dataField name="Sum of Burglary" fld="16" baseField="0" baseItem="0"/>
    <dataField name="Sum of Larceny- theft" fld="18" baseField="0" baseItem="0"/>
    <dataField name="Sum of Motor  vehicle  theft" fld="20" baseField="0" baseItem="0"/>
  </dataFields>
  <formats count="2">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94CC626-3863-47F7-9B3D-238F08477F63}" name="PivotTable5"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67:C70" firstHeaderRow="0" firstDataRow="1" firstDataCol="1" rowPageCount="1" colPageCount="1"/>
  <pivotFields count="17">
    <pivotField axis="axisPage" showAll="0">
      <items count="53">
        <item x="30"/>
        <item x="46"/>
        <item x="38"/>
        <item x="34"/>
        <item x="47"/>
        <item x="39"/>
        <item x="0"/>
        <item x="21"/>
        <item x="22"/>
        <item x="23"/>
        <item x="24"/>
        <item x="48"/>
        <item x="40"/>
        <item x="9"/>
        <item x="10"/>
        <item x="14"/>
        <item x="15"/>
        <item x="31"/>
        <item x="35"/>
        <item x="1"/>
        <item x="25"/>
        <item x="2"/>
        <item x="11"/>
        <item x="16"/>
        <item x="32"/>
        <item x="17"/>
        <item x="41"/>
        <item x="18"/>
        <item x="42"/>
        <item x="3"/>
        <item x="6"/>
        <item x="43"/>
        <item x="7"/>
        <item x="26"/>
        <item x="19"/>
        <item x="12"/>
        <item x="36"/>
        <item x="49"/>
        <item x="8"/>
        <item x="51"/>
        <item x="4"/>
        <item x="27"/>
        <item x="20"/>
        <item x="33"/>
        <item x="37"/>
        <item x="44"/>
        <item x="5"/>
        <item x="28"/>
        <item x="50"/>
        <item x="29"/>
        <item x="13"/>
        <item x="45"/>
        <item t="default"/>
      </items>
    </pivotField>
    <pivotField showAll="0">
      <items count="6">
        <item x="1"/>
        <item x="0"/>
        <item x="4"/>
        <item x="2"/>
        <item x="3"/>
        <item t="default"/>
      </items>
    </pivotField>
    <pivotField showAll="0"/>
    <pivotField axis="axisRow" showAll="0">
      <items count="3">
        <item x="0"/>
        <item x="1"/>
        <item t="default"/>
      </items>
    </pivotField>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dataField="1" numFmtId="165" showAll="0"/>
    <pivotField dataField="1" numFmtId="165" showAll="0"/>
  </pivotFields>
  <rowFields count="1">
    <field x="3"/>
  </rowFields>
  <rowItems count="3">
    <i>
      <x/>
    </i>
    <i>
      <x v="1"/>
    </i>
    <i t="grand">
      <x/>
    </i>
  </rowItems>
  <colFields count="1">
    <field x="-2"/>
  </colFields>
  <colItems count="2">
    <i>
      <x/>
    </i>
    <i i="1">
      <x v="1"/>
    </i>
  </colItems>
  <pageFields count="1">
    <pageField fld="0" hier="-1"/>
  </pageFields>
  <dataFields count="2">
    <dataField name="Sum of Total Crimes(rape revised)" fld="15" baseField="0" baseItem="0"/>
    <dataField name="Sum of Total Crime(rape legacy)" fld="16" baseField="0" baseItem="0"/>
  </dataFields>
  <formats count="1">
    <format dxfId="9">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0A8BA85-5974-4167-9AEA-89702CC7B879}" name="PivotTable4"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C40:L43" firstHeaderRow="0" firstDataRow="1" firstDataCol="1" rowPageCount="1" colPageCount="1"/>
  <pivotFields count="17">
    <pivotField axis="axisPage" showAll="0">
      <items count="53">
        <item x="30"/>
        <item x="46"/>
        <item x="38"/>
        <item x="34"/>
        <item x="47"/>
        <item x="39"/>
        <item x="0"/>
        <item x="21"/>
        <item x="22"/>
        <item x="23"/>
        <item x="24"/>
        <item x="48"/>
        <item x="40"/>
        <item x="9"/>
        <item x="10"/>
        <item x="14"/>
        <item x="15"/>
        <item x="31"/>
        <item x="35"/>
        <item x="1"/>
        <item x="25"/>
        <item x="2"/>
        <item x="11"/>
        <item x="16"/>
        <item x="32"/>
        <item x="17"/>
        <item x="41"/>
        <item x="18"/>
        <item x="42"/>
        <item x="3"/>
        <item x="6"/>
        <item x="43"/>
        <item x="7"/>
        <item x="26"/>
        <item x="19"/>
        <item x="12"/>
        <item x="36"/>
        <item x="49"/>
        <item x="8"/>
        <item x="51"/>
        <item x="4"/>
        <item x="27"/>
        <item x="20"/>
        <item x="33"/>
        <item x="37"/>
        <item x="44"/>
        <item x="5"/>
        <item x="28"/>
        <item x="50"/>
        <item x="29"/>
        <item x="13"/>
        <item x="45"/>
        <item t="default"/>
      </items>
    </pivotField>
    <pivotField showAll="0">
      <items count="6">
        <item x="1"/>
        <item x="0"/>
        <item x="4"/>
        <item x="2"/>
        <item x="3"/>
        <item t="default"/>
      </items>
    </pivotField>
    <pivotField showAll="0"/>
    <pivotField axis="axisRow" showAll="0">
      <items count="3">
        <item x="0"/>
        <item x="1"/>
        <item t="default"/>
      </items>
    </pivotField>
    <pivotField numFmtId="165" showAll="0"/>
    <pivotField dataField="1" numFmtId="165" showAll="0"/>
    <pivotField dataField="1" numFmtId="165" showAll="0"/>
    <pivotField dataField="1" numFmtId="165" showAll="0"/>
    <pivotField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3"/>
  </rowFields>
  <rowItems count="3">
    <i>
      <x/>
    </i>
    <i>
      <x v="1"/>
    </i>
    <i t="grand">
      <x/>
    </i>
  </rowItems>
  <colFields count="1">
    <field x="-2"/>
  </colFields>
  <colItems count="9">
    <i>
      <x/>
    </i>
    <i i="1">
      <x v="1"/>
    </i>
    <i i="2">
      <x v="2"/>
    </i>
    <i i="3">
      <x v="3"/>
    </i>
    <i i="4">
      <x v="4"/>
    </i>
    <i i="5">
      <x v="5"/>
    </i>
    <i i="6">
      <x v="6"/>
    </i>
    <i i="7">
      <x v="7"/>
    </i>
    <i i="8">
      <x v="8"/>
    </i>
  </colItems>
  <pageFields count="1">
    <pageField fld="0" hier="-1"/>
  </pageFields>
  <dataFields count="9">
    <dataField name="Sum of Violent crime" fld="5" baseField="0" baseItem="0"/>
    <dataField name="Sum of Murder and  nonnegligent  manslaughter" fld="6" baseField="0" baseItem="0"/>
    <dataField name="Sum of Rape (revised definition)" fld="7" baseField="0" baseItem="0"/>
    <dataField name="Sum of Robbery" fld="9" baseField="0" baseItem="0"/>
    <dataField name="Sum of Aggravated assault" fld="10" baseField="0" baseItem="0"/>
    <dataField name="Sum of Property crime" fld="11" baseField="0" baseItem="0"/>
    <dataField name="Sum of Burglary" fld="12" baseField="0" baseItem="0"/>
    <dataField name="Sum of Larceny-theft" fld="13" baseField="0" baseItem="0"/>
    <dataField name="Sum of Motor vehicle theft" fld="14" baseField="0" baseItem="0"/>
  </dataFields>
  <formats count="2">
    <format dxfId="11">
      <pivotArea collapsedLevelsAreSubtotals="1" fieldPosition="0">
        <references count="1">
          <reference field="3" count="0"/>
        </references>
      </pivotArea>
    </format>
    <format dxfId="10">
      <pivotArea grandRow="1" outline="0" collapsedLevelsAreSubtotals="1" fieldPosition="0"/>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 chart="0" format="8" series="1">
      <pivotArea type="data" outline="0" fieldPosition="0">
        <references count="1">
          <reference field="4294967294" count="1" selected="0">
            <x v="8"/>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3"/>
          </reference>
        </references>
      </pivotArea>
    </chartFormat>
    <chartFormat chart="1" format="4" series="1">
      <pivotArea type="data" outline="0" fieldPosition="0">
        <references count="1">
          <reference field="4294967294" count="1" selected="0">
            <x v="4"/>
          </reference>
        </references>
      </pivotArea>
    </chartFormat>
    <chartFormat chart="1" format="5" series="1">
      <pivotArea type="data" outline="0" fieldPosition="0">
        <references count="1">
          <reference field="4294967294" count="1" selected="0">
            <x v="5"/>
          </reference>
        </references>
      </pivotArea>
    </chartFormat>
    <chartFormat chart="1" format="6" series="1">
      <pivotArea type="data" outline="0" fieldPosition="0">
        <references count="1">
          <reference field="4294967294" count="1" selected="0">
            <x v="6"/>
          </reference>
        </references>
      </pivotArea>
    </chartFormat>
    <chartFormat chart="1" format="7" series="1">
      <pivotArea type="data" outline="0" fieldPosition="0">
        <references count="1">
          <reference field="4294967294" count="1" selected="0">
            <x v="7"/>
          </reference>
        </references>
      </pivotArea>
    </chartFormat>
    <chartFormat chart="1" format="8" series="1">
      <pivotArea type="data" outline="0" fieldPosition="0">
        <references count="1">
          <reference field="4294967294"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F218FFD-6D91-48E5-B341-CA8878D0AD54}" name="Crimes By Region"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K9" firstHeaderRow="0" firstDataRow="1" firstDataCol="1"/>
  <pivotFields count="17">
    <pivotField axis="axisRow" showAll="0">
      <items count="53">
        <item x="30"/>
        <item x="46"/>
        <item x="38"/>
        <item x="34"/>
        <item x="47"/>
        <item x="39"/>
        <item x="0"/>
        <item x="21"/>
        <item x="22"/>
        <item x="23"/>
        <item x="24"/>
        <item x="48"/>
        <item x="40"/>
        <item x="9"/>
        <item x="10"/>
        <item x="14"/>
        <item x="15"/>
        <item x="31"/>
        <item x="35"/>
        <item x="1"/>
        <item x="25"/>
        <item x="2"/>
        <item x="11"/>
        <item x="16"/>
        <item x="32"/>
        <item x="17"/>
        <item x="41"/>
        <item x="18"/>
        <item x="42"/>
        <item x="3"/>
        <item x="6"/>
        <item x="43"/>
        <item x="7"/>
        <item x="26"/>
        <item x="19"/>
        <item x="12"/>
        <item x="36"/>
        <item x="49"/>
        <item x="8"/>
        <item x="51"/>
        <item x="4"/>
        <item x="27"/>
        <item x="20"/>
        <item x="33"/>
        <item x="37"/>
        <item x="44"/>
        <item x="5"/>
        <item x="28"/>
        <item x="50"/>
        <item x="29"/>
        <item x="13"/>
        <item x="45"/>
        <item t="default"/>
      </items>
    </pivotField>
    <pivotField axis="axisRow" showAll="0">
      <items count="6">
        <item sd="0" x="1"/>
        <item sd="0" x="0"/>
        <item sd="0" x="4"/>
        <item sd="0" x="2"/>
        <item sd="0" x="3"/>
        <item t="default" sd="0"/>
      </items>
    </pivotField>
    <pivotField axis="axisRow" showAll="0">
      <items count="11">
        <item sd="0" x="2"/>
        <item x="5"/>
        <item x="1"/>
        <item x="7"/>
        <item x="0"/>
        <item x="8"/>
        <item x="9"/>
        <item x="4"/>
        <item sd="0" x="3"/>
        <item x="6"/>
        <item t="default"/>
      </items>
    </pivotField>
    <pivotField showAll="0">
      <items count="3">
        <item x="0"/>
        <item x="1"/>
        <item t="default"/>
      </items>
    </pivotField>
    <pivotField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3">
    <field x="1"/>
    <field x="2"/>
    <field x="0"/>
  </rowFields>
  <rowItems count="6">
    <i>
      <x/>
    </i>
    <i>
      <x v="1"/>
    </i>
    <i>
      <x v="2"/>
    </i>
    <i>
      <x v="3"/>
    </i>
    <i>
      <x v="4"/>
    </i>
    <i t="grand">
      <x/>
    </i>
  </rowItems>
  <colFields count="1">
    <field x="-2"/>
  </colFields>
  <colItems count="10">
    <i>
      <x/>
    </i>
    <i i="1">
      <x v="1"/>
    </i>
    <i i="2">
      <x v="2"/>
    </i>
    <i i="3">
      <x v="3"/>
    </i>
    <i i="4">
      <x v="4"/>
    </i>
    <i i="5">
      <x v="5"/>
    </i>
    <i i="6">
      <x v="6"/>
    </i>
    <i i="7">
      <x v="7"/>
    </i>
    <i i="8">
      <x v="8"/>
    </i>
    <i i="9">
      <x v="9"/>
    </i>
  </colItems>
  <dataFields count="10">
    <dataField name="Sum of Violent crime" fld="5" baseField="0" baseItem="0"/>
    <dataField name="Sum of Murder and  nonnegligent  manslaughter" fld="6" baseField="0" baseItem="0"/>
    <dataField name="Sum of Rape (revised definition)" fld="7" baseField="0" baseItem="0"/>
    <dataField name="Sum of Rape (legacy definition)" fld="8" baseField="0" baseItem="0"/>
    <dataField name="Sum of Robbery" fld="9" baseField="0" baseItem="0"/>
    <dataField name="Sum of Aggravated assault" fld="10" baseField="0" baseItem="0"/>
    <dataField name="Sum of Property crime" fld="11" baseField="0" baseItem="0"/>
    <dataField name="Sum of Burglary" fld="12" baseField="0" baseItem="0"/>
    <dataField name="Sum of Larceny-theft" fld="13" baseField="0" baseItem="0"/>
    <dataField name="Sum of Motor vehicle theft" fld="14" baseField="0" baseItem="0"/>
  </dataFields>
  <formats count="1">
    <format dxfId="12">
      <pivotArea outline="0" collapsedLevelsAreSubtotals="1" fieldPosition="0"/>
    </format>
  </formats>
  <chartFormats count="10">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2"/>
          </reference>
        </references>
      </pivotArea>
    </chartFormat>
    <chartFormat chart="0" format="4" series="1">
      <pivotArea type="data" outline="0" fieldPosition="0">
        <references count="1">
          <reference field="4294967294" count="1" selected="0">
            <x v="3"/>
          </reference>
        </references>
      </pivotArea>
    </chartFormat>
    <chartFormat chart="0" format="5" series="1">
      <pivotArea type="data" outline="0" fieldPosition="0">
        <references count="1">
          <reference field="4294967294" count="1" selected="0">
            <x v="4"/>
          </reference>
        </references>
      </pivotArea>
    </chartFormat>
    <chartFormat chart="0" format="6" series="1">
      <pivotArea type="data" outline="0" fieldPosition="0">
        <references count="1">
          <reference field="4294967294" count="1" selected="0">
            <x v="5"/>
          </reference>
        </references>
      </pivotArea>
    </chartFormat>
    <chartFormat chart="0" format="7" series="1">
      <pivotArea type="data" outline="0" fieldPosition="0">
        <references count="1">
          <reference field="4294967294" count="1" selected="0">
            <x v="6"/>
          </reference>
        </references>
      </pivotArea>
    </chartFormat>
    <chartFormat chart="0" format="8" series="1">
      <pivotArea type="data" outline="0" fieldPosition="0">
        <references count="1">
          <reference field="4294967294" count="1" selected="0">
            <x v="7"/>
          </reference>
        </references>
      </pivotArea>
    </chartFormat>
    <chartFormat chart="0" format="9" series="1">
      <pivotArea type="data" outline="0" fieldPosition="0">
        <references count="1">
          <reference field="4294967294" count="1" selected="0">
            <x v="8"/>
          </reference>
        </references>
      </pivotArea>
    </chartFormat>
    <chartFormat chart="0" format="10" series="1">
      <pivotArea type="data" outline="0" fieldPosition="0">
        <references count="1">
          <reference field="4294967294"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535F07F-B2B1-4F2F-B705-1B9C2201B239}" name="PivotTable9"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96:D103" firstHeaderRow="1" firstDataRow="2" firstDataCol="1"/>
  <pivotFields count="17">
    <pivotField axis="axisRow" showAll="0">
      <items count="53">
        <item x="30"/>
        <item x="46"/>
        <item x="38"/>
        <item x="34"/>
        <item x="47"/>
        <item x="39"/>
        <item x="0"/>
        <item x="21"/>
        <item x="22"/>
        <item x="23"/>
        <item x="24"/>
        <item x="48"/>
        <item x="40"/>
        <item x="9"/>
        <item x="10"/>
        <item x="14"/>
        <item x="15"/>
        <item x="31"/>
        <item x="35"/>
        <item x="1"/>
        <item x="25"/>
        <item x="2"/>
        <item x="11"/>
        <item x="16"/>
        <item x="32"/>
        <item x="17"/>
        <item x="41"/>
        <item x="18"/>
        <item x="42"/>
        <item x="3"/>
        <item x="6"/>
        <item x="43"/>
        <item x="7"/>
        <item x="26"/>
        <item x="19"/>
        <item x="12"/>
        <item x="36"/>
        <item x="49"/>
        <item x="8"/>
        <item x="51"/>
        <item x="4"/>
        <item x="27"/>
        <item x="20"/>
        <item x="33"/>
        <item x="37"/>
        <item x="44"/>
        <item x="5"/>
        <item x="28"/>
        <item x="50"/>
        <item x="29"/>
        <item x="13"/>
        <item x="45"/>
        <item t="default"/>
      </items>
    </pivotField>
    <pivotField axis="axisRow" showAll="0">
      <items count="6">
        <item sd="0" x="1"/>
        <item sd="0" x="0"/>
        <item sd="0" x="4"/>
        <item sd="0" x="2"/>
        <item sd="0" x="3"/>
        <item t="default" sd="0"/>
      </items>
    </pivotField>
    <pivotField axis="axisRow" showAll="0">
      <items count="11">
        <item x="2"/>
        <item x="5"/>
        <item x="1"/>
        <item x="7"/>
        <item x="0"/>
        <item x="8"/>
        <item x="9"/>
        <item x="4"/>
        <item x="3"/>
        <item x="6"/>
        <item t="default"/>
      </items>
    </pivotField>
    <pivotField axis="axisCol" showAll="0">
      <items count="3">
        <item x="0"/>
        <item x="1"/>
        <item t="default"/>
      </items>
    </pivotField>
    <pivotField dataField="1"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s>
  <rowFields count="3">
    <field x="1"/>
    <field x="2"/>
    <field x="0"/>
  </rowFields>
  <rowItems count="6">
    <i>
      <x/>
    </i>
    <i>
      <x v="1"/>
    </i>
    <i>
      <x v="2"/>
    </i>
    <i>
      <x v="3"/>
    </i>
    <i>
      <x v="4"/>
    </i>
    <i t="grand">
      <x/>
    </i>
  </rowItems>
  <colFields count="1">
    <field x="3"/>
  </colFields>
  <colItems count="3">
    <i>
      <x/>
    </i>
    <i>
      <x v="1"/>
    </i>
    <i t="grand">
      <x/>
    </i>
  </colItems>
  <dataFields count="1">
    <dataField name="Sum of Population" fld="4" baseField="0" baseItem="0"/>
  </dataFields>
  <formats count="12">
    <format dxfId="24">
      <pivotArea collapsedLevelsAreSubtotals="1" fieldPosition="0">
        <references count="1">
          <reference field="1" count="1">
            <x v="0"/>
          </reference>
        </references>
      </pivotArea>
    </format>
    <format dxfId="23">
      <pivotArea collapsedLevelsAreSubtotals="1" fieldPosition="0">
        <references count="1">
          <reference field="1" count="1">
            <x v="1"/>
          </reference>
        </references>
      </pivotArea>
    </format>
    <format dxfId="22">
      <pivotArea collapsedLevelsAreSubtotals="1" fieldPosition="0">
        <references count="1">
          <reference field="1" count="1">
            <x v="2"/>
          </reference>
        </references>
      </pivotArea>
    </format>
    <format dxfId="21">
      <pivotArea collapsedLevelsAreSubtotals="1" fieldPosition="0">
        <references count="1">
          <reference field="1" count="1">
            <x v="3"/>
          </reference>
        </references>
      </pivotArea>
    </format>
    <format dxfId="20">
      <pivotArea collapsedLevelsAreSubtotals="1" fieldPosition="0">
        <references count="1">
          <reference field="1" count="1">
            <x v="4"/>
          </reference>
        </references>
      </pivotArea>
    </format>
    <format dxfId="19">
      <pivotArea grandRow="1" outline="0" collapsedLevelsAreSubtotals="1" fieldPosition="0"/>
    </format>
    <format dxfId="18">
      <pivotArea collapsedLevelsAreSubtotals="1" fieldPosition="0">
        <references count="2">
          <reference field="1" count="1" selected="0">
            <x v="3"/>
          </reference>
          <reference field="2" count="1">
            <x v="1"/>
          </reference>
        </references>
      </pivotArea>
    </format>
    <format dxfId="17">
      <pivotArea collapsedLevelsAreSubtotals="1" fieldPosition="0">
        <references count="3">
          <reference field="0" count="4">
            <x v="0"/>
            <x v="17"/>
            <x v="24"/>
            <x v="43"/>
          </reference>
          <reference field="1" count="1" selected="0">
            <x v="3"/>
          </reference>
          <reference field="2" count="1" selected="0">
            <x v="1"/>
          </reference>
        </references>
      </pivotArea>
    </format>
    <format dxfId="16">
      <pivotArea collapsedLevelsAreSubtotals="1" fieldPosition="0">
        <references count="2">
          <reference field="1" count="1" selected="0">
            <x v="3"/>
          </reference>
          <reference field="2" count="1">
            <x v="7"/>
          </reference>
        </references>
      </pivotArea>
    </format>
    <format dxfId="15">
      <pivotArea collapsedLevelsAreSubtotals="1" fieldPosition="0">
        <references count="3">
          <reference field="0" count="9">
            <x v="7"/>
            <x v="8"/>
            <x v="9"/>
            <x v="10"/>
            <x v="20"/>
            <x v="33"/>
            <x v="41"/>
            <x v="47"/>
            <x v="49"/>
          </reference>
          <reference field="1" count="1" selected="0">
            <x v="3"/>
          </reference>
          <reference field="2" count="1" selected="0">
            <x v="7"/>
          </reference>
        </references>
      </pivotArea>
    </format>
    <format dxfId="14">
      <pivotArea collapsedLevelsAreSubtotals="1" fieldPosition="0">
        <references count="2">
          <reference field="1" count="1" selected="0">
            <x v="3"/>
          </reference>
          <reference field="2" count="1">
            <x v="9"/>
          </reference>
        </references>
      </pivotArea>
    </format>
    <format dxfId="13">
      <pivotArea collapsedLevelsAreSubtotals="1" fieldPosition="0">
        <references count="3">
          <reference field="0" count="4">
            <x v="3"/>
            <x v="18"/>
            <x v="36"/>
            <x v="44"/>
          </reference>
          <reference field="1" count="1" selected="0">
            <x v="3"/>
          </reference>
          <reference field="2" count="1" selected="0">
            <x v="9"/>
          </reference>
        </references>
      </pivotArea>
    </format>
  </formats>
  <chartFormats count="2">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AE52084-9EC8-4ED0-96B5-3C859A35B8F4}" name="PivotTable1"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5" firstHeaderRow="0" firstDataRow="0" firstDataCol="0" rowPageCount="3" colPageCount="1"/>
  <pivotFields count="17">
    <pivotField axis="axisPage" showAll="0">
      <items count="53">
        <item x="30"/>
        <item x="46"/>
        <item x="38"/>
        <item x="34"/>
        <item x="47"/>
        <item x="39"/>
        <item x="0"/>
        <item x="21"/>
        <item x="22"/>
        <item x="23"/>
        <item x="24"/>
        <item x="48"/>
        <item x="40"/>
        <item x="9"/>
        <item x="10"/>
        <item x="14"/>
        <item x="15"/>
        <item x="31"/>
        <item x="35"/>
        <item x="1"/>
        <item x="25"/>
        <item x="2"/>
        <item x="11"/>
        <item x="16"/>
        <item x="32"/>
        <item x="17"/>
        <item x="41"/>
        <item x="18"/>
        <item x="42"/>
        <item x="3"/>
        <item x="6"/>
        <item x="43"/>
        <item x="7"/>
        <item x="26"/>
        <item x="19"/>
        <item x="12"/>
        <item x="36"/>
        <item x="49"/>
        <item x="8"/>
        <item x="51"/>
        <item x="4"/>
        <item x="27"/>
        <item x="20"/>
        <item x="33"/>
        <item x="37"/>
        <item x="44"/>
        <item x="5"/>
        <item x="28"/>
        <item x="50"/>
        <item x="29"/>
        <item x="13"/>
        <item x="45"/>
        <item t="default"/>
      </items>
    </pivotField>
    <pivotField axis="axisPage" showAll="0">
      <items count="6">
        <item x="1"/>
        <item x="0"/>
        <item x="4"/>
        <item x="2"/>
        <item x="3"/>
        <item t="default"/>
      </items>
    </pivotField>
    <pivotField axis="axisPage" showAll="0">
      <items count="11">
        <item x="2"/>
        <item x="5"/>
        <item x="1"/>
        <item x="7"/>
        <item x="0"/>
        <item x="8"/>
        <item x="9"/>
        <item x="4"/>
        <item x="3"/>
        <item x="6"/>
        <item t="default"/>
      </items>
    </pivotField>
    <pivotField showAll="0">
      <items count="3">
        <item x="0"/>
        <item x="1"/>
        <item t="default"/>
      </items>
    </pivotField>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s>
  <pageFields count="3">
    <pageField fld="1" item="4" hier="-1"/>
    <pageField fld="2" hier="-1"/>
    <pageField fld="0" hier="-1"/>
  </page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7F55BCC-D84B-4204-88E8-9D6CEDC5BF54}" name="PivotTable2" cacheId="1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18" firstHeaderRow="0" firstDataRow="0" firstDataCol="0" rowPageCount="1" colPageCount="1"/>
  <pivotFields count="17">
    <pivotField compact="0" outline="0" showAll="0" defaultSubtotal="0">
      <items count="52">
        <item x="30"/>
        <item x="46"/>
        <item x="38"/>
        <item x="34"/>
        <item x="47"/>
        <item x="39"/>
        <item x="0"/>
        <item x="21"/>
        <item x="22"/>
        <item x="23"/>
        <item x="24"/>
        <item x="48"/>
        <item x="40"/>
        <item x="9"/>
        <item x="10"/>
        <item x="14"/>
        <item x="15"/>
        <item x="31"/>
        <item x="35"/>
        <item x="1"/>
        <item x="25"/>
        <item x="2"/>
        <item x="11"/>
        <item x="16"/>
        <item x="32"/>
        <item x="17"/>
        <item x="41"/>
        <item x="18"/>
        <item x="42"/>
        <item x="3"/>
        <item x="6"/>
        <item x="43"/>
        <item x="7"/>
        <item x="26"/>
        <item x="19"/>
        <item x="12"/>
        <item x="36"/>
        <item x="49"/>
        <item x="8"/>
        <item x="51"/>
        <item x="4"/>
        <item x="27"/>
        <item x="20"/>
        <item x="33"/>
        <item x="37"/>
        <item x="44"/>
        <item x="5"/>
        <item x="28"/>
        <item x="50"/>
        <item x="29"/>
        <item x="13"/>
        <item x="45"/>
      </items>
      <extLst>
        <ext xmlns:x14="http://schemas.microsoft.com/office/spreadsheetml/2009/9/main" uri="{2946ED86-A175-432a-8AC1-64E0C546D7DE}">
          <x14:pivotField fillDownLabels="1"/>
        </ext>
      </extLst>
    </pivotField>
    <pivotField compact="0" outline="0" showAll="0" defaultSubtotal="0">
      <items count="5">
        <item x="1"/>
        <item x="0"/>
        <item x="4"/>
        <item x="2"/>
        <item x="3"/>
      </items>
      <extLst>
        <ext xmlns:x14="http://schemas.microsoft.com/office/spreadsheetml/2009/9/main" uri="{2946ED86-A175-432a-8AC1-64E0C546D7DE}">
          <x14:pivotField fillDownLabels="1"/>
        </ext>
      </extLst>
    </pivotField>
    <pivotField compact="0" outline="0" showAll="0" defaultSubtotal="0">
      <items count="10">
        <item x="2"/>
        <item x="5"/>
        <item x="1"/>
        <item x="7"/>
        <item x="0"/>
        <item x="8"/>
        <item x="9"/>
        <item x="4"/>
        <item x="3"/>
        <item x="6"/>
      </items>
      <extLst>
        <ext xmlns:x14="http://schemas.microsoft.com/office/spreadsheetml/2009/9/main" uri="{2946ED86-A175-432a-8AC1-64E0C546D7DE}">
          <x14:pivotField fillDownLabels="1"/>
        </ext>
      </extLst>
    </pivotField>
    <pivotField axis="axisPage" compact="0" outline="0" showAll="0" defaultSubtotal="0">
      <items count="2">
        <item x="0"/>
        <item x="1"/>
      </items>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s>
  <pageFields count="1">
    <pageField fld="3" item="1" hier="-1"/>
  </page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000-000000000000}" autoFormatId="16" applyNumberFormats="0" applyBorderFormats="0" applyFontFormats="0" applyPatternFormats="0" applyAlignmentFormats="0" applyWidthHeightFormats="0">
  <queryTableRefresh nextId="25" unboundColumnsRight="2">
    <queryTableFields count="24">
      <queryTableField id="1" name="Year" tableColumnId="1"/>
      <queryTableField id="2" name="Population1" tableColumnId="2"/>
      <queryTableField id="3" name="Violent crime2" tableColumnId="3"/>
      <queryTableField id="4" name="Violent  crime  rate" tableColumnId="4"/>
      <queryTableField id="5" name="Murder and nonnegligent  manslaughter" tableColumnId="5"/>
      <queryTableField id="6" name="Murder and  nonnegligent  manslaughter  rate" tableColumnId="6"/>
      <queryTableField id="7" name="Rape (revised  definition3)" tableColumnId="7"/>
      <queryTableField id="8" name="Rape (revised  definition)  rate3" tableColumnId="8"/>
      <queryTableField id="9" name="Rape (legacy  definition4)" tableColumnId="9"/>
      <queryTableField id="10" name="Rape (legacy  definition)  rate4" tableColumnId="10"/>
      <queryTableField id="11" name="Robbery" tableColumnId="11"/>
      <queryTableField id="12" name="Robbery  rate" tableColumnId="12"/>
      <queryTableField id="13" name="Aggravated  assault" tableColumnId="13"/>
      <queryTableField id="14" name="Aggravated  assault rate" tableColumnId="14"/>
      <queryTableField id="15" name="Property  crime" tableColumnId="15"/>
      <queryTableField id="16" name="Property  crime  rate" tableColumnId="16"/>
      <queryTableField id="17" name="Burglary" tableColumnId="17"/>
      <queryTableField id="18" name="Burglary  rate" tableColumnId="18"/>
      <queryTableField id="19" name="Larceny- theft" tableColumnId="19"/>
      <queryTableField id="20" name="Larceny- theft rate" tableColumnId="20"/>
      <queryTableField id="21" name="Motor  vehicle  theft" tableColumnId="21"/>
      <queryTableField id="22" name="Motor  vehicle  theft  rate" tableColumnId="22"/>
      <queryTableField id="23" dataBound="0" tableColumnId="23"/>
      <queryTableField id="24" dataBound="0" tableColumnId="2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400-000001000000}" autoFormatId="16" applyNumberFormats="0" applyBorderFormats="0" applyFontFormats="0" applyPatternFormats="0" applyAlignmentFormats="0" applyWidthHeightFormats="0">
  <queryTableRefresh nextId="18" unboundColumnsRight="2">
    <queryTableFields count="17">
      <queryTableField id="1" name="States" tableColumnId="1"/>
      <queryTableField id="2" name="Region" tableColumnId="2"/>
      <queryTableField id="15" dataBound="0" tableColumnId="15"/>
      <queryTableField id="3" name="Year" tableColumnId="3"/>
      <queryTableField id="4" name="Population" tableColumnId="4"/>
      <queryTableField id="5" name="Violent crime" tableColumnId="5"/>
      <queryTableField id="6" name="Murder and  nonnegligent  manslaughter" tableColumnId="6"/>
      <queryTableField id="7" name="Rape (revised definition)" tableColumnId="7"/>
      <queryTableField id="8" name="Rape (legacy definition)" tableColumnId="8"/>
      <queryTableField id="9" name="Robbery" tableColumnId="9"/>
      <queryTableField id="10" name="Aggravated assault" tableColumnId="10"/>
      <queryTableField id="11" name="Property crime" tableColumnId="11"/>
      <queryTableField id="12" name="Burglary" tableColumnId="12"/>
      <queryTableField id="13" name="Larceny-theft" tableColumnId="13"/>
      <queryTableField id="14" name="Motor vehicle theft" tableColumnId="14"/>
      <queryTableField id="16" dataBound="0" tableColumnId="16"/>
      <queryTableField id="17" dataBound="0"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9192CD9-1F0E-4714-81CA-FFF7FDF975A3}" sourceName="Year">
  <pivotTables>
    <pivotTable tabId="7" name="Crimes By Region"/>
  </pivotTables>
  <data>
    <tabular pivotCacheId="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3D965D4-F9D4-4517-9329-0945DE841950}" sourceName="Region">
  <pivotTables>
    <pivotTable tabId="7" name="PivotTable4"/>
    <pivotTable tabId="7" name="PivotTable5"/>
  </pivotTables>
  <data>
    <tabular pivotCacheId="1">
      <items count="5">
        <i x="1" s="1"/>
        <i x="0" s="1"/>
        <i x="4"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s" xr10:uid="{B87B4539-89F1-405A-97D3-8B7071737EEB}" sourceName="States">
  <pivotTables>
    <pivotTable tabId="7" name="PivotTable5"/>
    <pivotTable tabId="7" name="PivotTable4"/>
  </pivotTables>
  <data>
    <tabular pivotCacheId="1">
      <items count="52">
        <i x="30" s="1"/>
        <i x="46" s="1"/>
        <i x="38" s="1"/>
        <i x="34" s="1"/>
        <i x="47" s="1"/>
        <i x="39" s="1"/>
        <i x="0" s="1"/>
        <i x="21" s="1"/>
        <i x="22" s="1"/>
        <i x="23" s="1"/>
        <i x="24" s="1"/>
        <i x="48" s="1"/>
        <i x="40" s="1"/>
        <i x="9" s="1"/>
        <i x="10" s="1"/>
        <i x="14" s="1"/>
        <i x="15" s="1"/>
        <i x="31" s="1"/>
        <i x="35" s="1"/>
        <i x="1" s="1"/>
        <i x="25" s="1"/>
        <i x="2" s="1"/>
        <i x="11" s="1"/>
        <i x="16" s="1"/>
        <i x="32" s="1"/>
        <i x="17" s="1"/>
        <i x="41" s="1"/>
        <i x="18" s="1"/>
        <i x="42" s="1"/>
        <i x="3" s="1"/>
        <i x="6" s="1"/>
        <i x="43" s="1"/>
        <i x="7" s="1"/>
        <i x="26" s="1"/>
        <i x="19" s="1"/>
        <i x="12" s="1"/>
        <i x="36" s="1"/>
        <i x="49" s="1"/>
        <i x="8" s="1"/>
        <i x="51" s="1"/>
        <i x="4" s="1"/>
        <i x="27" s="1"/>
        <i x="20" s="1"/>
        <i x="33" s="1"/>
        <i x="37" s="1"/>
        <i x="44" s="1"/>
        <i x="5" s="1"/>
        <i x="28" s="1"/>
        <i x="50" s="1"/>
        <i x="29" s="1"/>
        <i x="13" s="1"/>
        <i x="4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2C7B283-55DB-4BF8-B5E2-5D01690C59AC}" cache="Slicer_Year" caption="Year" rowHeight="241300"/>
  <slicer name="Region" xr10:uid="{17986327-FB52-45B9-B1C4-763C85818A5A}" cache="Slicer_Region" caption="Region" rowHeight="241300"/>
  <slicer name="States" xr10:uid="{26E9234B-159F-45B0-A525-4B947AC7D8C5}" cache="Slicer_States" caption="States" startItem="1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2CFF35-E7CB-4B0F-BDD4-8D9906C7A755}" name="Crime" displayName="Crime" ref="A1:X21" tableType="queryTable" totalsRowShown="0">
  <autoFilter ref="A1:X21" xr:uid="{32DB9171-D704-4A7E-B3CC-DC75E5017615}"/>
  <tableColumns count="24">
    <tableColumn id="1" xr3:uid="{410DA402-9E3D-4B5B-A567-7B9D090C5455}" uniqueName="1" name="Year" queryTableFieldId="1"/>
    <tableColumn id="2" xr3:uid="{6C6A0254-93FC-4088-B0D9-75EEA5DD7B11}" uniqueName="2" name="Population1" queryTableFieldId="2" dataDxfId="64"/>
    <tableColumn id="3" xr3:uid="{B287A544-7D07-4035-9EDF-E3EBFF8F4206}" uniqueName="3" name="Violent crime2" queryTableFieldId="3" dataDxfId="63"/>
    <tableColumn id="4" xr3:uid="{87EE74E8-4F1F-4E80-984C-C353027E5FCF}" uniqueName="4" name="Violent  crime  rate" queryTableFieldId="4" dataDxfId="62"/>
    <tableColumn id="5" xr3:uid="{4A5221C6-CB91-48BB-9585-DBCC4F95BA96}" uniqueName="5" name="Murder and nonnegligent  manslaughter" queryTableFieldId="5" dataDxfId="61"/>
    <tableColumn id="6" xr3:uid="{8E3FFBAB-4A70-415B-B77B-6F80006808FF}" uniqueName="6" name="Murder and  nonnegligent  manslaughter  rate" queryTableFieldId="6" dataDxfId="60"/>
    <tableColumn id="7" xr3:uid="{700FBA00-23DB-4A30-8A20-BF911ED78DA3}" uniqueName="7" name="Rape (revised  definition3)" queryTableFieldId="7" dataDxfId="59"/>
    <tableColumn id="8" xr3:uid="{970320BE-DE1E-4F22-8AF2-BAD7570DD739}" uniqueName="8" name="Rape (revised  definition)  rate3" queryTableFieldId="8" dataDxfId="58"/>
    <tableColumn id="9" xr3:uid="{31077C70-289C-4695-8087-D655CD0B0BF4}" uniqueName="9" name="Rape (legacy  definition4)" queryTableFieldId="9" dataDxfId="57"/>
    <tableColumn id="10" xr3:uid="{ED5929C6-3551-490C-BAA2-29515CC4A911}" uniqueName="10" name="Rape (legacy  definition)  rate4" queryTableFieldId="10" dataDxfId="56"/>
    <tableColumn id="11" xr3:uid="{E0B1965D-9831-4625-A0C4-55F8B257D3F2}" uniqueName="11" name="Robbery" queryTableFieldId="11" dataDxfId="55"/>
    <tableColumn id="12" xr3:uid="{043C05A5-0ACE-4ACC-9B80-E74DCCF1025E}" uniqueName="12" name="Robbery  rate" queryTableFieldId="12" dataDxfId="54"/>
    <tableColumn id="13" xr3:uid="{49C02F6C-85CA-4E88-8FB2-7D837A5E0BA5}" uniqueName="13" name="Aggravated  assault" queryTableFieldId="13" dataDxfId="53"/>
    <tableColumn id="14" xr3:uid="{3EB3435E-13EE-4A2C-9D40-4DE6939F3644}" uniqueName="14" name="Aggravated  assault rate" queryTableFieldId="14" dataDxfId="52"/>
    <tableColumn id="15" xr3:uid="{8DC18676-0378-48F3-B82D-1FCD83DC1F5A}" uniqueName="15" name="Property  crime" queryTableFieldId="15" dataDxfId="51"/>
    <tableColumn id="16" xr3:uid="{EF6AE18B-E83F-427C-AC67-3DDEC99CB3A1}" uniqueName="16" name="Property  crime  rate" queryTableFieldId="16" dataDxfId="50"/>
    <tableColumn id="17" xr3:uid="{EDE74C2F-0D16-479B-8E42-AD3794DDD9B0}" uniqueName="17" name="Burglary" queryTableFieldId="17" dataDxfId="49"/>
    <tableColumn id="18" xr3:uid="{0FD7633B-1392-4E9E-A51D-072C28C13826}" uniqueName="18" name="Burglary  rate" queryTableFieldId="18" dataDxfId="48"/>
    <tableColumn id="19" xr3:uid="{94BE55F4-A611-4624-B58F-1DA8CFD73559}" uniqueName="19" name="Larceny- theft" queryTableFieldId="19" dataDxfId="47"/>
    <tableColumn id="20" xr3:uid="{8F85E886-2982-429E-AD0F-8BA26F7365C4}" uniqueName="20" name="Larceny- theft rate" queryTableFieldId="20" dataDxfId="46"/>
    <tableColumn id="21" xr3:uid="{32D994F9-7783-422B-AD3D-40FC2DF4E7BA}" uniqueName="21" name="Motor  vehicle  theft" queryTableFieldId="21" dataDxfId="45"/>
    <tableColumn id="22" xr3:uid="{53F02D35-4976-4AF4-8FC9-B0E91B701E1F}" uniqueName="22" name="Motor  vehicle  theft  rate" queryTableFieldId="22" dataDxfId="44"/>
    <tableColumn id="23" xr3:uid="{098CE028-53FB-499E-AF41-A87627849933}" uniqueName="23" name="Total(Legacy def)" queryTableFieldId="23" dataDxfId="7">
      <calculatedColumnFormula>Crime[[#This Row],[Violent crime2]]+Crime[[#This Row],[Murder and nonnegligent  manslaughter]]+Crime[[#This Row],[Rape (legacy  definition4)]]+Crime[[#This Row],[Robbery]]+Crime[[#This Row],[Aggravated  assault]]+Crime[[#This Row],[Property  crime]]+Crime[[#This Row],[Burglary]]+Crime[[#This Row],[Larceny- theft]]+Crime[[#This Row],[Motor  vehicle  theft]]</calculatedColumnFormula>
    </tableColumn>
    <tableColumn id="24" xr3:uid="{25F1E8CE-B03E-491B-B2D9-5039CC367250}" uniqueName="24" name="Total(Revised)" queryTableFieldId="24" dataDxfId="6">
      <calculatedColumnFormula>Crime[[#This Row],[Violent crime2]]+Crime[[#This Row],[Murder and nonnegligent  manslaughter]]+Crime[[#This Row],[Rape (revised  definition3)]]+Crime[[#This Row],[Robbery]]+Crime[[#This Row],[Aggravated  assault]]+Crime[[#This Row],[Property  crime]]+Crime[[#This Row],[Burglary]]+Crime[[#This Row],[Larceny- theft]]+Crime[[#This Row],[Motor  vehicle  theft]]</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29CDEF8-E142-438B-A1EF-67E1F816F54C}" name="CrimeGeo" displayName="CrimeGeo" ref="A1:Q106" tableType="queryTable" totalsRowCount="1">
  <autoFilter ref="A1:Q105" xr:uid="{E792AF3A-FA05-4E83-8649-1944EEA1E01D}"/>
  <tableColumns count="17">
    <tableColumn id="1" xr3:uid="{3BB7C2B5-9135-4636-B63E-8600127D7984}" uniqueName="1" name="States" totalsRowLabel="Total" queryTableFieldId="1" dataDxfId="41"/>
    <tableColumn id="2" xr3:uid="{300D18C3-17D1-4FBB-9F87-D37BF519461B}" uniqueName="2" name="Region" queryTableFieldId="2" dataDxfId="40"/>
    <tableColumn id="15" xr3:uid="{32C22F27-8FBE-4C67-A39B-11513668BB47}" uniqueName="15" name="Sub-regions" queryTableFieldId="15" dataDxfId="39"/>
    <tableColumn id="3" xr3:uid="{324936E3-8DC0-4921-9423-C06ECA509676}" uniqueName="3" name="Year" queryTableFieldId="3" dataDxfId="38"/>
    <tableColumn id="4" xr3:uid="{F04B53F0-0B8E-45D3-A84F-FBC99CB8177D}" uniqueName="4" name="Population" queryTableFieldId="4" dataDxfId="37"/>
    <tableColumn id="5" xr3:uid="{A817934D-DA95-4BC5-A772-7B9AC76990D8}" uniqueName="5" name="Violent crime" queryTableFieldId="5" dataDxfId="36"/>
    <tableColumn id="6" xr3:uid="{377DFD11-DDE3-4BD8-88F8-9CBA5236E660}" uniqueName="6" name="Murder and  nonnegligent  manslaughter" queryTableFieldId="6" dataDxfId="35"/>
    <tableColumn id="7" xr3:uid="{FD2DA63A-9B73-4B34-A552-9AB8662747AD}" uniqueName="7" name="Rape (revised definition)" queryTableFieldId="7" dataDxfId="34"/>
    <tableColumn id="8" xr3:uid="{0D9BA739-613C-42B3-83B5-6581A746D876}" uniqueName="8" name="Rape (legacy definition)" queryTableFieldId="8" dataDxfId="33"/>
    <tableColumn id="9" xr3:uid="{E492BF2B-9507-401D-A216-4B7F745DB46E}" uniqueName="9" name="Robbery" queryTableFieldId="9" dataDxfId="32"/>
    <tableColumn id="10" xr3:uid="{25CD1C24-5883-443D-AFE4-2860D1F61B9D}" uniqueName="10" name="Aggravated assault" queryTableFieldId="10" dataDxfId="31"/>
    <tableColumn id="11" xr3:uid="{FEB08190-B622-4A9B-9C81-3F0079D4A0CE}" uniqueName="11" name="Property crime" queryTableFieldId="11" dataDxfId="30"/>
    <tableColumn id="12" xr3:uid="{32A28DAD-C934-4C30-A555-BC3407ED03D4}" uniqueName="12" name="Burglary" queryTableFieldId="12" dataDxfId="29"/>
    <tableColumn id="13" xr3:uid="{D96CFDA2-2831-4D4E-A977-A016E07A595B}" uniqueName="13" name="Larceny-theft" queryTableFieldId="13" dataDxfId="28"/>
    <tableColumn id="14" xr3:uid="{BEFBF993-F43D-42A2-88A1-4D7BCB45215E}" uniqueName="14" name="Motor vehicle theft" queryTableFieldId="14" dataDxfId="27"/>
    <tableColumn id="16" xr3:uid="{EEEE135E-96F5-4A13-A853-4646D917E70C}" uniqueName="16" name="Total Crimes(rape revised)" totalsRowFunction="sum" queryTableFieldId="16" dataDxfId="26">
      <calculatedColumnFormula>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calculatedColumnFormula>
    </tableColumn>
    <tableColumn id="17" xr3:uid="{9113A0C2-7CEB-43DC-83B4-74EB290B7E7D}" uniqueName="17" name="Total Crime(rape legacy)" totalsRowFunction="sum" queryTableFieldId="17" dataDxfId="25">
      <calculatedColumnFormula>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7.xml"/><Relationship Id="rId7" Type="http://schemas.microsoft.com/office/2007/relationships/slicer" Target="../slicers/slicer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2.xml"/><Relationship Id="rId5" Type="http://schemas.openxmlformats.org/officeDocument/2006/relationships/printerSettings" Target="../printerSettings/printerSettings5.bin"/><Relationship Id="rId4"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A6B3E-61AC-4795-8445-C66A3058ABC7}">
  <sheetPr codeName="Sheet2"/>
  <dimension ref="A1:X21"/>
  <sheetViews>
    <sheetView topLeftCell="N1" workbookViewId="0">
      <selection activeCell="W21" sqref="A21:W21"/>
    </sheetView>
  </sheetViews>
  <sheetFormatPr defaultRowHeight="15" x14ac:dyDescent="0.25"/>
  <cols>
    <col min="1" max="1" width="7.28515625" bestFit="1" customWidth="1"/>
    <col min="2" max="2" width="16.5703125" customWidth="1"/>
    <col min="3" max="3" width="16.5703125" bestFit="1" customWidth="1"/>
    <col min="4" max="4" width="20.5703125" bestFit="1" customWidth="1"/>
    <col min="5" max="5" width="40" bestFit="1" customWidth="1"/>
    <col min="6" max="6" width="45.140625" bestFit="1" customWidth="1"/>
    <col min="7" max="7" width="27.42578125" bestFit="1" customWidth="1"/>
    <col min="8" max="8" width="32.140625" bestFit="1" customWidth="1"/>
    <col min="9" max="9" width="26.42578125" bestFit="1" customWidth="1"/>
    <col min="10" max="10" width="31" bestFit="1" customWidth="1"/>
    <col min="11" max="11" width="10.85546875" bestFit="1" customWidth="1"/>
    <col min="12" max="12" width="15.28515625" bestFit="1" customWidth="1"/>
    <col min="13" max="13" width="20.7109375" bestFit="1" customWidth="1"/>
    <col min="14" max="14" width="24.85546875" bestFit="1" customWidth="1"/>
    <col min="15" max="15" width="17.140625" bestFit="1" customWidth="1"/>
    <col min="16" max="16" width="21.7109375" bestFit="1" customWidth="1"/>
    <col min="17" max="17" width="11.7109375" bestFit="1" customWidth="1"/>
    <col min="18" max="18" width="15.140625" bestFit="1" customWidth="1"/>
    <col min="19" max="19" width="15.85546875" bestFit="1" customWidth="1"/>
    <col min="20" max="20" width="20" bestFit="1" customWidth="1"/>
    <col min="21" max="21" width="21.85546875" bestFit="1" customWidth="1"/>
    <col min="22" max="22" width="26.42578125" bestFit="1" customWidth="1"/>
    <col min="23" max="23" width="19.7109375" bestFit="1" customWidth="1"/>
    <col min="24" max="24" width="16.28515625" bestFit="1" customWidth="1"/>
  </cols>
  <sheetData>
    <row r="1" spans="1:2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129</v>
      </c>
      <c r="X1" t="s">
        <v>130</v>
      </c>
    </row>
    <row r="2" spans="1:24" x14ac:dyDescent="0.25">
      <c r="A2">
        <v>1997</v>
      </c>
      <c r="B2" s="5">
        <v>267783607</v>
      </c>
      <c r="C2" s="5">
        <v>1636096</v>
      </c>
      <c r="D2" s="5">
        <v>611</v>
      </c>
      <c r="E2" s="5">
        <v>18208</v>
      </c>
      <c r="F2" s="5">
        <v>6.8</v>
      </c>
      <c r="G2" s="5"/>
      <c r="H2" s="5"/>
      <c r="I2" s="5">
        <v>96153</v>
      </c>
      <c r="J2" s="5">
        <v>35.9</v>
      </c>
      <c r="K2" s="5">
        <v>498534</v>
      </c>
      <c r="L2" s="5">
        <v>186.2</v>
      </c>
      <c r="M2" s="5">
        <v>1023201</v>
      </c>
      <c r="N2" s="5">
        <v>382.1</v>
      </c>
      <c r="O2" s="5">
        <v>11558475</v>
      </c>
      <c r="P2" s="5">
        <v>4316.3</v>
      </c>
      <c r="Q2" s="5">
        <v>2460526</v>
      </c>
      <c r="R2" s="5">
        <v>918.8</v>
      </c>
      <c r="S2" s="5">
        <v>7743760</v>
      </c>
      <c r="T2" s="5">
        <v>2891.8</v>
      </c>
      <c r="U2" s="5">
        <v>1354189</v>
      </c>
      <c r="V2" s="5">
        <v>505.7</v>
      </c>
      <c r="W2" s="5">
        <f>Crime[[#This Row],[Violent crime2]]+Crime[[#This Row],[Murder and nonnegligent  manslaughter]]+Crime[[#This Row],[Rape (legacy  definition4)]]+Crime[[#This Row],[Robbery]]+Crime[[#This Row],[Aggravated  assault]]+Crime[[#This Row],[Property  crime]]+Crime[[#This Row],[Burglary]]+Crime[[#This Row],[Larceny- theft]]+Crime[[#This Row],[Motor  vehicle  theft]]</f>
        <v>26389142</v>
      </c>
      <c r="X2" s="5">
        <f>Crime[[#This Row],[Violent crime2]]+Crime[[#This Row],[Murder and nonnegligent  manslaughter]]+Crime[[#This Row],[Rape (revised  definition3)]]+Crime[[#This Row],[Robbery]]+Crime[[#This Row],[Aggravated  assault]]+Crime[[#This Row],[Property  crime]]+Crime[[#This Row],[Burglary]]+Crime[[#This Row],[Larceny- theft]]+Crime[[#This Row],[Motor  vehicle  theft]]</f>
        <v>26292989</v>
      </c>
    </row>
    <row r="3" spans="1:24" x14ac:dyDescent="0.25">
      <c r="A3">
        <v>1998</v>
      </c>
      <c r="B3" s="5">
        <v>270248003</v>
      </c>
      <c r="C3" s="5">
        <v>1533887</v>
      </c>
      <c r="D3" s="5">
        <v>567.6</v>
      </c>
      <c r="E3" s="5">
        <v>16974</v>
      </c>
      <c r="F3" s="5">
        <v>6.3</v>
      </c>
      <c r="G3" s="5"/>
      <c r="H3" s="5"/>
      <c r="I3" s="5">
        <v>93144</v>
      </c>
      <c r="J3" s="5">
        <v>34.5</v>
      </c>
      <c r="K3" s="5">
        <v>447186</v>
      </c>
      <c r="L3" s="5">
        <v>165.5</v>
      </c>
      <c r="M3" s="5">
        <v>976583</v>
      </c>
      <c r="N3" s="5">
        <v>361.4</v>
      </c>
      <c r="O3" s="5">
        <v>10951827</v>
      </c>
      <c r="P3" s="5">
        <v>4052.5</v>
      </c>
      <c r="Q3" s="5">
        <v>2332735</v>
      </c>
      <c r="R3" s="5">
        <v>863.2</v>
      </c>
      <c r="S3" s="5">
        <v>7376311</v>
      </c>
      <c r="T3" s="5">
        <v>2729.5</v>
      </c>
      <c r="U3" s="5">
        <v>1242781</v>
      </c>
      <c r="V3" s="5">
        <v>459.9</v>
      </c>
      <c r="W3" s="5">
        <f>Crime[[#This Row],[Violent crime2]]+Crime[[#This Row],[Murder and nonnegligent  manslaughter]]+Crime[[#This Row],[Rape (legacy  definition4)]]+Crime[[#This Row],[Robbery]]+Crime[[#This Row],[Aggravated  assault]]+Crime[[#This Row],[Property  crime]]+Crime[[#This Row],[Burglary]]+Crime[[#This Row],[Larceny- theft]]+Crime[[#This Row],[Motor  vehicle  theft]]</f>
        <v>24971428</v>
      </c>
      <c r="X3" s="5">
        <f>Crime[[#This Row],[Violent crime2]]+Crime[[#This Row],[Murder and nonnegligent  manslaughter]]+Crime[[#This Row],[Rape (revised  definition3)]]+Crime[[#This Row],[Robbery]]+Crime[[#This Row],[Aggravated  assault]]+Crime[[#This Row],[Property  crime]]+Crime[[#This Row],[Burglary]]+Crime[[#This Row],[Larceny- theft]]+Crime[[#This Row],[Motor  vehicle  theft]]</f>
        <v>24878284</v>
      </c>
    </row>
    <row r="4" spans="1:24" x14ac:dyDescent="0.25">
      <c r="A4">
        <v>1999</v>
      </c>
      <c r="B4" s="5">
        <v>272690813</v>
      </c>
      <c r="C4" s="5">
        <v>1426044</v>
      </c>
      <c r="D4" s="5">
        <v>523</v>
      </c>
      <c r="E4" s="5">
        <v>15522</v>
      </c>
      <c r="F4" s="5">
        <v>5.7</v>
      </c>
      <c r="G4" s="5"/>
      <c r="H4" s="5"/>
      <c r="I4" s="5">
        <v>89411</v>
      </c>
      <c r="J4" s="5">
        <v>32.799999999999997</v>
      </c>
      <c r="K4" s="5">
        <v>409371</v>
      </c>
      <c r="L4" s="5">
        <v>150.1</v>
      </c>
      <c r="M4" s="5">
        <v>911740</v>
      </c>
      <c r="N4" s="5">
        <v>334.3</v>
      </c>
      <c r="O4" s="5">
        <v>10208334</v>
      </c>
      <c r="P4" s="5">
        <v>3743.6</v>
      </c>
      <c r="Q4" s="5">
        <v>2100739</v>
      </c>
      <c r="R4" s="5">
        <v>770.4</v>
      </c>
      <c r="S4" s="5">
        <v>6955520</v>
      </c>
      <c r="T4" s="5">
        <v>2550.6999999999998</v>
      </c>
      <c r="U4" s="5">
        <v>1152075</v>
      </c>
      <c r="V4" s="5">
        <v>422.5</v>
      </c>
      <c r="W4" s="5">
        <f>Crime[[#This Row],[Violent crime2]]+Crime[[#This Row],[Murder and nonnegligent  manslaughter]]+Crime[[#This Row],[Rape (legacy  definition4)]]+Crime[[#This Row],[Robbery]]+Crime[[#This Row],[Aggravated  assault]]+Crime[[#This Row],[Property  crime]]+Crime[[#This Row],[Burglary]]+Crime[[#This Row],[Larceny- theft]]+Crime[[#This Row],[Motor  vehicle  theft]]</f>
        <v>23268756</v>
      </c>
      <c r="X4" s="5">
        <f>Crime[[#This Row],[Violent crime2]]+Crime[[#This Row],[Murder and nonnegligent  manslaughter]]+Crime[[#This Row],[Rape (revised  definition3)]]+Crime[[#This Row],[Robbery]]+Crime[[#This Row],[Aggravated  assault]]+Crime[[#This Row],[Property  crime]]+Crime[[#This Row],[Burglary]]+Crime[[#This Row],[Larceny- theft]]+Crime[[#This Row],[Motor  vehicle  theft]]</f>
        <v>23179345</v>
      </c>
    </row>
    <row r="5" spans="1:24" x14ac:dyDescent="0.25">
      <c r="A5">
        <v>2000</v>
      </c>
      <c r="B5" s="5">
        <v>281421906</v>
      </c>
      <c r="C5" s="5">
        <v>1425486</v>
      </c>
      <c r="D5" s="5">
        <v>506.5</v>
      </c>
      <c r="E5" s="5">
        <v>15586</v>
      </c>
      <c r="F5" s="5">
        <v>5.5</v>
      </c>
      <c r="G5" s="5"/>
      <c r="H5" s="5"/>
      <c r="I5" s="5">
        <v>90178</v>
      </c>
      <c r="J5" s="5">
        <v>32</v>
      </c>
      <c r="K5" s="5">
        <v>408016</v>
      </c>
      <c r="L5" s="5">
        <v>145</v>
      </c>
      <c r="M5" s="5">
        <v>911706</v>
      </c>
      <c r="N5" s="5">
        <v>324</v>
      </c>
      <c r="O5" s="5">
        <v>10182584</v>
      </c>
      <c r="P5" s="5">
        <v>3618.3</v>
      </c>
      <c r="Q5" s="5">
        <v>2050992</v>
      </c>
      <c r="R5" s="5">
        <v>728.8</v>
      </c>
      <c r="S5" s="5">
        <v>6971590</v>
      </c>
      <c r="T5" s="5">
        <v>2477.3000000000002</v>
      </c>
      <c r="U5" s="5">
        <v>1160002</v>
      </c>
      <c r="V5" s="5">
        <v>412.2</v>
      </c>
      <c r="W5" s="5">
        <f>Crime[[#This Row],[Violent crime2]]+Crime[[#This Row],[Murder and nonnegligent  manslaughter]]+Crime[[#This Row],[Rape (legacy  definition4)]]+Crime[[#This Row],[Robbery]]+Crime[[#This Row],[Aggravated  assault]]+Crime[[#This Row],[Property  crime]]+Crime[[#This Row],[Burglary]]+Crime[[#This Row],[Larceny- theft]]+Crime[[#This Row],[Motor  vehicle  theft]]</f>
        <v>23216140</v>
      </c>
      <c r="X5" s="5">
        <f>Crime[[#This Row],[Violent crime2]]+Crime[[#This Row],[Murder and nonnegligent  manslaughter]]+Crime[[#This Row],[Rape (revised  definition3)]]+Crime[[#This Row],[Robbery]]+Crime[[#This Row],[Aggravated  assault]]+Crime[[#This Row],[Property  crime]]+Crime[[#This Row],[Burglary]]+Crime[[#This Row],[Larceny- theft]]+Crime[[#This Row],[Motor  vehicle  theft]]</f>
        <v>23125962</v>
      </c>
    </row>
    <row r="6" spans="1:24" x14ac:dyDescent="0.25">
      <c r="A6">
        <v>2001</v>
      </c>
      <c r="B6" s="5">
        <v>285317559</v>
      </c>
      <c r="C6" s="5">
        <v>1439480</v>
      </c>
      <c r="D6" s="5">
        <v>504.5</v>
      </c>
      <c r="E6" s="5">
        <v>16037</v>
      </c>
      <c r="F6" s="5">
        <v>5.6</v>
      </c>
      <c r="G6" s="5"/>
      <c r="H6" s="5"/>
      <c r="I6" s="5">
        <v>90863</v>
      </c>
      <c r="J6" s="5">
        <v>31.8</v>
      </c>
      <c r="K6" s="5">
        <v>423557</v>
      </c>
      <c r="L6" s="5">
        <v>148.5</v>
      </c>
      <c r="M6" s="5">
        <v>909023</v>
      </c>
      <c r="N6" s="5">
        <v>318.60000000000002</v>
      </c>
      <c r="O6" s="5">
        <v>10437189</v>
      </c>
      <c r="P6" s="5">
        <v>3658.1</v>
      </c>
      <c r="Q6" s="5">
        <v>2116531</v>
      </c>
      <c r="R6" s="5">
        <v>741.8</v>
      </c>
      <c r="S6" s="5">
        <v>7092267</v>
      </c>
      <c r="T6" s="5">
        <v>2485.6999999999998</v>
      </c>
      <c r="U6" s="5">
        <v>1228391</v>
      </c>
      <c r="V6" s="5">
        <v>430.5</v>
      </c>
      <c r="W6" s="5">
        <f>Crime[[#This Row],[Violent crime2]]+Crime[[#This Row],[Murder and nonnegligent  manslaughter]]+Crime[[#This Row],[Rape (legacy  definition4)]]+Crime[[#This Row],[Robbery]]+Crime[[#This Row],[Aggravated  assault]]+Crime[[#This Row],[Property  crime]]+Crime[[#This Row],[Burglary]]+Crime[[#This Row],[Larceny- theft]]+Crime[[#This Row],[Motor  vehicle  theft]]</f>
        <v>23753338</v>
      </c>
      <c r="X6" s="5">
        <f>Crime[[#This Row],[Violent crime2]]+Crime[[#This Row],[Murder and nonnegligent  manslaughter]]+Crime[[#This Row],[Rape (revised  definition3)]]+Crime[[#This Row],[Robbery]]+Crime[[#This Row],[Aggravated  assault]]+Crime[[#This Row],[Property  crime]]+Crime[[#This Row],[Burglary]]+Crime[[#This Row],[Larceny- theft]]+Crime[[#This Row],[Motor  vehicle  theft]]</f>
        <v>23662475</v>
      </c>
    </row>
    <row r="7" spans="1:24" x14ac:dyDescent="0.25">
      <c r="A7">
        <v>2002</v>
      </c>
      <c r="B7" s="5">
        <v>287973924</v>
      </c>
      <c r="C7" s="5">
        <v>1423677</v>
      </c>
      <c r="D7" s="5">
        <v>494.4</v>
      </c>
      <c r="E7" s="5">
        <v>16229</v>
      </c>
      <c r="F7" s="5">
        <v>5.6</v>
      </c>
      <c r="G7" s="5"/>
      <c r="H7" s="5"/>
      <c r="I7" s="5">
        <v>95235</v>
      </c>
      <c r="J7" s="5">
        <v>33.1</v>
      </c>
      <c r="K7" s="5">
        <v>420806</v>
      </c>
      <c r="L7" s="5">
        <v>146.1</v>
      </c>
      <c r="M7" s="5">
        <v>891407</v>
      </c>
      <c r="N7" s="5">
        <v>309.5</v>
      </c>
      <c r="O7" s="5">
        <v>10455277</v>
      </c>
      <c r="P7" s="5">
        <v>3630.6</v>
      </c>
      <c r="Q7" s="5">
        <v>2151252</v>
      </c>
      <c r="R7" s="5">
        <v>747</v>
      </c>
      <c r="S7" s="5">
        <v>7057379</v>
      </c>
      <c r="T7" s="5">
        <v>2450.6999999999998</v>
      </c>
      <c r="U7" s="5">
        <v>1246646</v>
      </c>
      <c r="V7" s="5">
        <v>432.9</v>
      </c>
      <c r="W7" s="5">
        <f>Crime[[#This Row],[Violent crime2]]+Crime[[#This Row],[Murder and nonnegligent  manslaughter]]+Crime[[#This Row],[Rape (legacy  definition4)]]+Crime[[#This Row],[Robbery]]+Crime[[#This Row],[Aggravated  assault]]+Crime[[#This Row],[Property  crime]]+Crime[[#This Row],[Burglary]]+Crime[[#This Row],[Larceny- theft]]+Crime[[#This Row],[Motor  vehicle  theft]]</f>
        <v>23757908</v>
      </c>
      <c r="X7" s="5">
        <f>Crime[[#This Row],[Violent crime2]]+Crime[[#This Row],[Murder and nonnegligent  manslaughter]]+Crime[[#This Row],[Rape (revised  definition3)]]+Crime[[#This Row],[Robbery]]+Crime[[#This Row],[Aggravated  assault]]+Crime[[#This Row],[Property  crime]]+Crime[[#This Row],[Burglary]]+Crime[[#This Row],[Larceny- theft]]+Crime[[#This Row],[Motor  vehicle  theft]]</f>
        <v>23662673</v>
      </c>
    </row>
    <row r="8" spans="1:24" x14ac:dyDescent="0.25">
      <c r="A8">
        <v>2003</v>
      </c>
      <c r="B8" s="5">
        <v>290788976</v>
      </c>
      <c r="C8" s="5">
        <v>1383676</v>
      </c>
      <c r="D8" s="5">
        <v>475.8</v>
      </c>
      <c r="E8" s="5">
        <v>16528</v>
      </c>
      <c r="F8" s="5">
        <v>5.7</v>
      </c>
      <c r="G8" s="5"/>
      <c r="H8" s="5"/>
      <c r="I8" s="5">
        <v>93883</v>
      </c>
      <c r="J8" s="5">
        <v>32.299999999999997</v>
      </c>
      <c r="K8" s="5">
        <v>414235</v>
      </c>
      <c r="L8" s="5">
        <v>142.5</v>
      </c>
      <c r="M8" s="5">
        <v>859030</v>
      </c>
      <c r="N8" s="5">
        <v>295.39999999999998</v>
      </c>
      <c r="O8" s="5">
        <v>10442862</v>
      </c>
      <c r="P8" s="5">
        <v>3591.2</v>
      </c>
      <c r="Q8" s="5">
        <v>2154834</v>
      </c>
      <c r="R8" s="5">
        <v>741</v>
      </c>
      <c r="S8" s="5">
        <v>7026802</v>
      </c>
      <c r="T8" s="5">
        <v>2416.5</v>
      </c>
      <c r="U8" s="5">
        <v>1261226</v>
      </c>
      <c r="V8" s="5">
        <v>433.7</v>
      </c>
      <c r="W8" s="5">
        <f>Crime[[#This Row],[Violent crime2]]+Crime[[#This Row],[Murder and nonnegligent  manslaughter]]+Crime[[#This Row],[Rape (legacy  definition4)]]+Crime[[#This Row],[Robbery]]+Crime[[#This Row],[Aggravated  assault]]+Crime[[#This Row],[Property  crime]]+Crime[[#This Row],[Burglary]]+Crime[[#This Row],[Larceny- theft]]+Crime[[#This Row],[Motor  vehicle  theft]]</f>
        <v>23653076</v>
      </c>
      <c r="X8" s="5">
        <f>Crime[[#This Row],[Violent crime2]]+Crime[[#This Row],[Murder and nonnegligent  manslaughter]]+Crime[[#This Row],[Rape (revised  definition3)]]+Crime[[#This Row],[Robbery]]+Crime[[#This Row],[Aggravated  assault]]+Crime[[#This Row],[Property  crime]]+Crime[[#This Row],[Burglary]]+Crime[[#This Row],[Larceny- theft]]+Crime[[#This Row],[Motor  vehicle  theft]]</f>
        <v>23559193</v>
      </c>
    </row>
    <row r="9" spans="1:24" x14ac:dyDescent="0.25">
      <c r="A9">
        <v>2004</v>
      </c>
      <c r="B9" s="5">
        <v>293656842</v>
      </c>
      <c r="C9" s="5">
        <v>1360088</v>
      </c>
      <c r="D9" s="5">
        <v>463.2</v>
      </c>
      <c r="E9" s="5">
        <v>16148</v>
      </c>
      <c r="F9" s="5">
        <v>5.5</v>
      </c>
      <c r="G9" s="5"/>
      <c r="H9" s="5"/>
      <c r="I9" s="5">
        <v>95089</v>
      </c>
      <c r="J9" s="5">
        <v>32.4</v>
      </c>
      <c r="K9" s="5">
        <v>401470</v>
      </c>
      <c r="L9" s="5">
        <v>136.69999999999999</v>
      </c>
      <c r="M9" s="5">
        <v>847381</v>
      </c>
      <c r="N9" s="5">
        <v>288.60000000000002</v>
      </c>
      <c r="O9" s="5">
        <v>10319386</v>
      </c>
      <c r="P9" s="5">
        <v>3514.1</v>
      </c>
      <c r="Q9" s="5">
        <v>2144446</v>
      </c>
      <c r="R9" s="5">
        <v>730.3</v>
      </c>
      <c r="S9" s="5">
        <v>6937089</v>
      </c>
      <c r="T9" s="5">
        <v>2362.3000000000002</v>
      </c>
      <c r="U9" s="5">
        <v>1237851</v>
      </c>
      <c r="V9" s="5">
        <v>421.5</v>
      </c>
      <c r="W9" s="5">
        <f>Crime[[#This Row],[Violent crime2]]+Crime[[#This Row],[Murder and nonnegligent  manslaughter]]+Crime[[#This Row],[Rape (legacy  definition4)]]+Crime[[#This Row],[Robbery]]+Crime[[#This Row],[Aggravated  assault]]+Crime[[#This Row],[Property  crime]]+Crime[[#This Row],[Burglary]]+Crime[[#This Row],[Larceny- theft]]+Crime[[#This Row],[Motor  vehicle  theft]]</f>
        <v>23358948</v>
      </c>
      <c r="X9" s="5">
        <f>Crime[[#This Row],[Violent crime2]]+Crime[[#This Row],[Murder and nonnegligent  manslaughter]]+Crime[[#This Row],[Rape (revised  definition3)]]+Crime[[#This Row],[Robbery]]+Crime[[#This Row],[Aggravated  assault]]+Crime[[#This Row],[Property  crime]]+Crime[[#This Row],[Burglary]]+Crime[[#This Row],[Larceny- theft]]+Crime[[#This Row],[Motor  vehicle  theft]]</f>
        <v>23263859</v>
      </c>
    </row>
    <row r="10" spans="1:24" x14ac:dyDescent="0.25">
      <c r="A10">
        <v>2005</v>
      </c>
      <c r="B10" s="5">
        <v>296507061</v>
      </c>
      <c r="C10" s="5">
        <v>1390745</v>
      </c>
      <c r="D10" s="5">
        <v>469</v>
      </c>
      <c r="E10" s="5">
        <v>16740</v>
      </c>
      <c r="F10" s="5">
        <v>5.6</v>
      </c>
      <c r="G10" s="5"/>
      <c r="H10" s="5"/>
      <c r="I10" s="5">
        <v>94347</v>
      </c>
      <c r="J10" s="5">
        <v>31.8</v>
      </c>
      <c r="K10" s="5">
        <v>417438</v>
      </c>
      <c r="L10" s="5">
        <v>140.80000000000001</v>
      </c>
      <c r="M10" s="5">
        <v>862220</v>
      </c>
      <c r="N10" s="5">
        <v>290.8</v>
      </c>
      <c r="O10" s="5">
        <v>10174754</v>
      </c>
      <c r="P10" s="5">
        <v>3431.5</v>
      </c>
      <c r="Q10" s="5">
        <v>2155448</v>
      </c>
      <c r="R10" s="5">
        <v>726.9</v>
      </c>
      <c r="S10" s="5">
        <v>6783447</v>
      </c>
      <c r="T10" s="5">
        <v>2287.8000000000002</v>
      </c>
      <c r="U10" s="5">
        <v>1235859</v>
      </c>
      <c r="V10" s="5">
        <v>416.8</v>
      </c>
      <c r="W10" s="5">
        <f>Crime[[#This Row],[Violent crime2]]+Crime[[#This Row],[Murder and nonnegligent  manslaughter]]+Crime[[#This Row],[Rape (legacy  definition4)]]+Crime[[#This Row],[Robbery]]+Crime[[#This Row],[Aggravated  assault]]+Crime[[#This Row],[Property  crime]]+Crime[[#This Row],[Burglary]]+Crime[[#This Row],[Larceny- theft]]+Crime[[#This Row],[Motor  vehicle  theft]]</f>
        <v>23130998</v>
      </c>
      <c r="X10" s="5">
        <f>Crime[[#This Row],[Violent crime2]]+Crime[[#This Row],[Murder and nonnegligent  manslaughter]]+Crime[[#This Row],[Rape (revised  definition3)]]+Crime[[#This Row],[Robbery]]+Crime[[#This Row],[Aggravated  assault]]+Crime[[#This Row],[Property  crime]]+Crime[[#This Row],[Burglary]]+Crime[[#This Row],[Larceny- theft]]+Crime[[#This Row],[Motor  vehicle  theft]]</f>
        <v>23036651</v>
      </c>
    </row>
    <row r="11" spans="1:24" x14ac:dyDescent="0.25">
      <c r="A11">
        <v>2006</v>
      </c>
      <c r="B11" s="5">
        <v>299398484</v>
      </c>
      <c r="C11" s="5">
        <v>1435123</v>
      </c>
      <c r="D11" s="5">
        <v>479.3</v>
      </c>
      <c r="E11" s="5">
        <v>17309</v>
      </c>
      <c r="F11" s="5">
        <v>5.8</v>
      </c>
      <c r="G11" s="5"/>
      <c r="H11" s="5"/>
      <c r="I11" s="5">
        <v>94472</v>
      </c>
      <c r="J11" s="5">
        <v>31.6</v>
      </c>
      <c r="K11" s="5">
        <v>449246</v>
      </c>
      <c r="L11" s="5">
        <v>150</v>
      </c>
      <c r="M11" s="5">
        <v>874096</v>
      </c>
      <c r="N11" s="5">
        <v>292</v>
      </c>
      <c r="O11" s="5">
        <v>10019601</v>
      </c>
      <c r="P11" s="5">
        <v>3346.6</v>
      </c>
      <c r="Q11" s="5">
        <v>2194993</v>
      </c>
      <c r="R11" s="5">
        <v>733.1</v>
      </c>
      <c r="S11" s="5">
        <v>6626363</v>
      </c>
      <c r="T11" s="5">
        <v>2213.1999999999998</v>
      </c>
      <c r="U11" s="5">
        <v>1198245</v>
      </c>
      <c r="V11" s="5">
        <v>400.2</v>
      </c>
      <c r="W11" s="5">
        <f>Crime[[#This Row],[Violent crime2]]+Crime[[#This Row],[Murder and nonnegligent  manslaughter]]+Crime[[#This Row],[Rape (legacy  definition4)]]+Crime[[#This Row],[Robbery]]+Crime[[#This Row],[Aggravated  assault]]+Crime[[#This Row],[Property  crime]]+Crime[[#This Row],[Burglary]]+Crime[[#This Row],[Larceny- theft]]+Crime[[#This Row],[Motor  vehicle  theft]]</f>
        <v>22909448</v>
      </c>
      <c r="X11" s="5">
        <f>Crime[[#This Row],[Violent crime2]]+Crime[[#This Row],[Murder and nonnegligent  manslaughter]]+Crime[[#This Row],[Rape (revised  definition3)]]+Crime[[#This Row],[Robbery]]+Crime[[#This Row],[Aggravated  assault]]+Crime[[#This Row],[Property  crime]]+Crime[[#This Row],[Burglary]]+Crime[[#This Row],[Larceny- theft]]+Crime[[#This Row],[Motor  vehicle  theft]]</f>
        <v>22814976</v>
      </c>
    </row>
    <row r="12" spans="1:24" x14ac:dyDescent="0.25">
      <c r="A12">
        <v>2007</v>
      </c>
      <c r="B12" s="5">
        <v>301621157</v>
      </c>
      <c r="C12" s="5">
        <v>1422970</v>
      </c>
      <c r="D12" s="5">
        <v>471.8</v>
      </c>
      <c r="E12" s="5">
        <v>17128</v>
      </c>
      <c r="F12" s="5">
        <v>5.7</v>
      </c>
      <c r="G12" s="5"/>
      <c r="H12" s="5"/>
      <c r="I12" s="5">
        <v>92160</v>
      </c>
      <c r="J12" s="5">
        <v>30.6</v>
      </c>
      <c r="K12" s="5">
        <v>447324</v>
      </c>
      <c r="L12" s="5">
        <v>148.30000000000001</v>
      </c>
      <c r="M12" s="5">
        <v>866358</v>
      </c>
      <c r="N12" s="5">
        <v>287.2</v>
      </c>
      <c r="O12" s="5">
        <v>9882212</v>
      </c>
      <c r="P12" s="5">
        <v>3276.4</v>
      </c>
      <c r="Q12" s="5">
        <v>2190198</v>
      </c>
      <c r="R12" s="5">
        <v>726.1</v>
      </c>
      <c r="S12" s="5">
        <v>6591542</v>
      </c>
      <c r="T12" s="5">
        <v>2185.4</v>
      </c>
      <c r="U12" s="5">
        <v>1100472</v>
      </c>
      <c r="V12" s="5">
        <v>364.9</v>
      </c>
      <c r="W12" s="5">
        <f>Crime[[#This Row],[Violent crime2]]+Crime[[#This Row],[Murder and nonnegligent  manslaughter]]+Crime[[#This Row],[Rape (legacy  definition4)]]+Crime[[#This Row],[Robbery]]+Crime[[#This Row],[Aggravated  assault]]+Crime[[#This Row],[Property  crime]]+Crime[[#This Row],[Burglary]]+Crime[[#This Row],[Larceny- theft]]+Crime[[#This Row],[Motor  vehicle  theft]]</f>
        <v>22610364</v>
      </c>
      <c r="X12" s="5">
        <f>Crime[[#This Row],[Violent crime2]]+Crime[[#This Row],[Murder and nonnegligent  manslaughter]]+Crime[[#This Row],[Rape (revised  definition3)]]+Crime[[#This Row],[Robbery]]+Crime[[#This Row],[Aggravated  assault]]+Crime[[#This Row],[Property  crime]]+Crime[[#This Row],[Burglary]]+Crime[[#This Row],[Larceny- theft]]+Crime[[#This Row],[Motor  vehicle  theft]]</f>
        <v>22518204</v>
      </c>
    </row>
    <row r="13" spans="1:24" x14ac:dyDescent="0.25">
      <c r="A13">
        <v>2008</v>
      </c>
      <c r="B13" s="5">
        <v>304059724</v>
      </c>
      <c r="C13" s="5">
        <v>1394461</v>
      </c>
      <c r="D13" s="5">
        <v>458.6</v>
      </c>
      <c r="E13" s="5">
        <v>16465</v>
      </c>
      <c r="F13" s="5">
        <v>5.4</v>
      </c>
      <c r="G13" s="5"/>
      <c r="H13" s="5"/>
      <c r="I13" s="5">
        <v>90750</v>
      </c>
      <c r="J13" s="5">
        <v>29.8</v>
      </c>
      <c r="K13" s="5">
        <v>443563</v>
      </c>
      <c r="L13" s="5">
        <v>145.9</v>
      </c>
      <c r="M13" s="5">
        <v>843683</v>
      </c>
      <c r="N13" s="5">
        <v>277.5</v>
      </c>
      <c r="O13" s="5">
        <v>9774152</v>
      </c>
      <c r="P13" s="5">
        <v>3214.6</v>
      </c>
      <c r="Q13" s="5">
        <v>2228887</v>
      </c>
      <c r="R13" s="5">
        <v>733</v>
      </c>
      <c r="S13" s="5">
        <v>6586206</v>
      </c>
      <c r="T13" s="5">
        <v>2166.1</v>
      </c>
      <c r="U13" s="5">
        <v>959059</v>
      </c>
      <c r="V13" s="5">
        <v>315.39999999999998</v>
      </c>
      <c r="W13" s="5">
        <f>Crime[[#This Row],[Violent crime2]]+Crime[[#This Row],[Murder and nonnegligent  manslaughter]]+Crime[[#This Row],[Rape (legacy  definition4)]]+Crime[[#This Row],[Robbery]]+Crime[[#This Row],[Aggravated  assault]]+Crime[[#This Row],[Property  crime]]+Crime[[#This Row],[Burglary]]+Crime[[#This Row],[Larceny- theft]]+Crime[[#This Row],[Motor  vehicle  theft]]</f>
        <v>22337226</v>
      </c>
      <c r="X13" s="5">
        <f>Crime[[#This Row],[Violent crime2]]+Crime[[#This Row],[Murder and nonnegligent  manslaughter]]+Crime[[#This Row],[Rape (revised  definition3)]]+Crime[[#This Row],[Robbery]]+Crime[[#This Row],[Aggravated  assault]]+Crime[[#This Row],[Property  crime]]+Crime[[#This Row],[Burglary]]+Crime[[#This Row],[Larceny- theft]]+Crime[[#This Row],[Motor  vehicle  theft]]</f>
        <v>22246476</v>
      </c>
    </row>
    <row r="14" spans="1:24" x14ac:dyDescent="0.25">
      <c r="A14">
        <v>2009</v>
      </c>
      <c r="B14" s="5">
        <v>307006550</v>
      </c>
      <c r="C14" s="5">
        <v>1325896</v>
      </c>
      <c r="D14" s="5">
        <v>431.9</v>
      </c>
      <c r="E14" s="5">
        <v>15399</v>
      </c>
      <c r="F14" s="5">
        <v>5</v>
      </c>
      <c r="G14" s="5"/>
      <c r="H14" s="5"/>
      <c r="I14" s="5">
        <v>89241</v>
      </c>
      <c r="J14" s="5">
        <v>29.1</v>
      </c>
      <c r="K14" s="5">
        <v>408742</v>
      </c>
      <c r="L14" s="5">
        <v>133.1</v>
      </c>
      <c r="M14" s="5">
        <v>812514</v>
      </c>
      <c r="N14" s="5">
        <v>264.7</v>
      </c>
      <c r="O14" s="5">
        <v>9337060</v>
      </c>
      <c r="P14" s="5">
        <v>3041.3</v>
      </c>
      <c r="Q14" s="5">
        <v>2203313</v>
      </c>
      <c r="R14" s="5">
        <v>717.7</v>
      </c>
      <c r="S14" s="5">
        <v>6338095</v>
      </c>
      <c r="T14" s="5">
        <v>2064.5</v>
      </c>
      <c r="U14" s="5">
        <v>795652</v>
      </c>
      <c r="V14" s="5">
        <v>259.2</v>
      </c>
      <c r="W14" s="5">
        <f>Crime[[#This Row],[Violent crime2]]+Crime[[#This Row],[Murder and nonnegligent  manslaughter]]+Crime[[#This Row],[Rape (legacy  definition4)]]+Crime[[#This Row],[Robbery]]+Crime[[#This Row],[Aggravated  assault]]+Crime[[#This Row],[Property  crime]]+Crime[[#This Row],[Burglary]]+Crime[[#This Row],[Larceny- theft]]+Crime[[#This Row],[Motor  vehicle  theft]]</f>
        <v>21325912</v>
      </c>
      <c r="X14" s="5">
        <f>Crime[[#This Row],[Violent crime2]]+Crime[[#This Row],[Murder and nonnegligent  manslaughter]]+Crime[[#This Row],[Rape (revised  definition3)]]+Crime[[#This Row],[Robbery]]+Crime[[#This Row],[Aggravated  assault]]+Crime[[#This Row],[Property  crime]]+Crime[[#This Row],[Burglary]]+Crime[[#This Row],[Larceny- theft]]+Crime[[#This Row],[Motor  vehicle  theft]]</f>
        <v>21236671</v>
      </c>
    </row>
    <row r="15" spans="1:24" x14ac:dyDescent="0.25">
      <c r="A15">
        <v>2010</v>
      </c>
      <c r="B15" s="5">
        <v>309330219</v>
      </c>
      <c r="C15" s="5">
        <v>1251248</v>
      </c>
      <c r="D15" s="5">
        <v>404.5</v>
      </c>
      <c r="E15" s="5">
        <v>14722</v>
      </c>
      <c r="F15" s="5">
        <v>4.8</v>
      </c>
      <c r="G15" s="5"/>
      <c r="H15" s="5"/>
      <c r="I15" s="5">
        <v>85593</v>
      </c>
      <c r="J15" s="5">
        <v>27.7</v>
      </c>
      <c r="K15" s="5">
        <v>369089</v>
      </c>
      <c r="L15" s="5">
        <v>119.3</v>
      </c>
      <c r="M15" s="5">
        <v>781844</v>
      </c>
      <c r="N15" s="5">
        <v>252.8</v>
      </c>
      <c r="O15" s="5">
        <v>9112625</v>
      </c>
      <c r="P15" s="5">
        <v>2945.9</v>
      </c>
      <c r="Q15" s="5">
        <v>2168459</v>
      </c>
      <c r="R15" s="5">
        <v>701</v>
      </c>
      <c r="S15" s="5">
        <v>6204601</v>
      </c>
      <c r="T15" s="5">
        <v>2005.8</v>
      </c>
      <c r="U15" s="5">
        <v>739565</v>
      </c>
      <c r="V15" s="5">
        <v>239.1</v>
      </c>
      <c r="W15" s="5">
        <f>Crime[[#This Row],[Violent crime2]]+Crime[[#This Row],[Murder and nonnegligent  manslaughter]]+Crime[[#This Row],[Rape (legacy  definition4)]]+Crime[[#This Row],[Robbery]]+Crime[[#This Row],[Aggravated  assault]]+Crime[[#This Row],[Property  crime]]+Crime[[#This Row],[Burglary]]+Crime[[#This Row],[Larceny- theft]]+Crime[[#This Row],[Motor  vehicle  theft]]</f>
        <v>20727746</v>
      </c>
      <c r="X15" s="5">
        <f>Crime[[#This Row],[Violent crime2]]+Crime[[#This Row],[Murder and nonnegligent  manslaughter]]+Crime[[#This Row],[Rape (revised  definition3)]]+Crime[[#This Row],[Robbery]]+Crime[[#This Row],[Aggravated  assault]]+Crime[[#This Row],[Property  crime]]+Crime[[#This Row],[Burglary]]+Crime[[#This Row],[Larceny- theft]]+Crime[[#This Row],[Motor  vehicle  theft]]</f>
        <v>20642153</v>
      </c>
    </row>
    <row r="16" spans="1:24" x14ac:dyDescent="0.25">
      <c r="A16">
        <v>2011</v>
      </c>
      <c r="B16" s="5">
        <v>311587816</v>
      </c>
      <c r="C16" s="5">
        <v>1206005</v>
      </c>
      <c r="D16" s="5">
        <v>387.1</v>
      </c>
      <c r="E16" s="5">
        <v>14661</v>
      </c>
      <c r="F16" s="5">
        <v>4.7</v>
      </c>
      <c r="G16" s="5"/>
      <c r="H16" s="5"/>
      <c r="I16" s="5">
        <v>84175</v>
      </c>
      <c r="J16" s="5">
        <v>27</v>
      </c>
      <c r="K16" s="5">
        <v>354746</v>
      </c>
      <c r="L16" s="5">
        <v>113.9</v>
      </c>
      <c r="M16" s="5">
        <v>752423</v>
      </c>
      <c r="N16" s="5">
        <v>241.5</v>
      </c>
      <c r="O16" s="5">
        <v>9052743</v>
      </c>
      <c r="P16" s="5">
        <v>2905.4</v>
      </c>
      <c r="Q16" s="5">
        <v>2185140</v>
      </c>
      <c r="R16" s="5">
        <v>701.3</v>
      </c>
      <c r="S16" s="5">
        <v>6151095</v>
      </c>
      <c r="T16" s="5">
        <v>1974.1</v>
      </c>
      <c r="U16" s="5">
        <v>716508</v>
      </c>
      <c r="V16" s="5">
        <v>230</v>
      </c>
      <c r="W16" s="5">
        <f>Crime[[#This Row],[Violent crime2]]+Crime[[#This Row],[Murder and nonnegligent  manslaughter]]+Crime[[#This Row],[Rape (legacy  definition4)]]+Crime[[#This Row],[Robbery]]+Crime[[#This Row],[Aggravated  assault]]+Crime[[#This Row],[Property  crime]]+Crime[[#This Row],[Burglary]]+Crime[[#This Row],[Larceny- theft]]+Crime[[#This Row],[Motor  vehicle  theft]]</f>
        <v>20517496</v>
      </c>
      <c r="X16" s="5">
        <f>Crime[[#This Row],[Violent crime2]]+Crime[[#This Row],[Murder and nonnegligent  manslaughter]]+Crime[[#This Row],[Rape (revised  definition3)]]+Crime[[#This Row],[Robbery]]+Crime[[#This Row],[Aggravated  assault]]+Crime[[#This Row],[Property  crime]]+Crime[[#This Row],[Burglary]]+Crime[[#This Row],[Larceny- theft]]+Crime[[#This Row],[Motor  vehicle  theft]]</f>
        <v>20433321</v>
      </c>
    </row>
    <row r="17" spans="1:24" x14ac:dyDescent="0.25">
      <c r="A17">
        <v>2012</v>
      </c>
      <c r="B17" s="5">
        <v>313873685</v>
      </c>
      <c r="C17" s="5">
        <v>1217057</v>
      </c>
      <c r="D17" s="5">
        <v>387.8</v>
      </c>
      <c r="E17" s="5">
        <v>14856</v>
      </c>
      <c r="F17" s="5">
        <v>4.7</v>
      </c>
      <c r="G17" s="5"/>
      <c r="H17" s="5"/>
      <c r="I17" s="5">
        <v>85141</v>
      </c>
      <c r="J17" s="5">
        <v>27.1</v>
      </c>
      <c r="K17" s="5">
        <v>355051</v>
      </c>
      <c r="L17" s="5">
        <v>113.1</v>
      </c>
      <c r="M17" s="5">
        <v>762009</v>
      </c>
      <c r="N17" s="5">
        <v>242.8</v>
      </c>
      <c r="O17" s="5">
        <v>9001992</v>
      </c>
      <c r="P17" s="5">
        <v>2868</v>
      </c>
      <c r="Q17" s="5">
        <v>2109932</v>
      </c>
      <c r="R17" s="5">
        <v>672.2</v>
      </c>
      <c r="S17" s="5">
        <v>6168874</v>
      </c>
      <c r="T17" s="5">
        <v>1965.4</v>
      </c>
      <c r="U17" s="5">
        <v>723186</v>
      </c>
      <c r="V17" s="5">
        <v>230.4</v>
      </c>
      <c r="W17" s="5">
        <f>Crime[[#This Row],[Violent crime2]]+Crime[[#This Row],[Murder and nonnegligent  manslaughter]]+Crime[[#This Row],[Rape (legacy  definition4)]]+Crime[[#This Row],[Robbery]]+Crime[[#This Row],[Aggravated  assault]]+Crime[[#This Row],[Property  crime]]+Crime[[#This Row],[Burglary]]+Crime[[#This Row],[Larceny- theft]]+Crime[[#This Row],[Motor  vehicle  theft]]</f>
        <v>20438098</v>
      </c>
      <c r="X17" s="5">
        <f>Crime[[#This Row],[Violent crime2]]+Crime[[#This Row],[Murder and nonnegligent  manslaughter]]+Crime[[#This Row],[Rape (revised  definition3)]]+Crime[[#This Row],[Robbery]]+Crime[[#This Row],[Aggravated  assault]]+Crime[[#This Row],[Property  crime]]+Crime[[#This Row],[Burglary]]+Crime[[#This Row],[Larceny- theft]]+Crime[[#This Row],[Motor  vehicle  theft]]</f>
        <v>20352957</v>
      </c>
    </row>
    <row r="18" spans="1:24" x14ac:dyDescent="0.25">
      <c r="A18">
        <v>2013</v>
      </c>
      <c r="B18" s="5">
        <v>316497531</v>
      </c>
      <c r="C18" s="5">
        <v>1168298</v>
      </c>
      <c r="D18" s="5">
        <v>369.1</v>
      </c>
      <c r="E18" s="5">
        <v>14319</v>
      </c>
      <c r="F18" s="5">
        <v>4.5</v>
      </c>
      <c r="G18" s="5">
        <v>113695</v>
      </c>
      <c r="H18" s="5">
        <v>35.9</v>
      </c>
      <c r="I18" s="5">
        <v>82109</v>
      </c>
      <c r="J18" s="5">
        <v>25.9</v>
      </c>
      <c r="K18" s="5">
        <v>345093</v>
      </c>
      <c r="L18" s="5">
        <v>109</v>
      </c>
      <c r="M18" s="5">
        <v>726777</v>
      </c>
      <c r="N18" s="5">
        <v>229.6</v>
      </c>
      <c r="O18" s="5">
        <v>8651892</v>
      </c>
      <c r="P18" s="5">
        <v>2733.6</v>
      </c>
      <c r="Q18" s="5">
        <v>1932139</v>
      </c>
      <c r="R18" s="5">
        <v>610.5</v>
      </c>
      <c r="S18" s="5">
        <v>6019465</v>
      </c>
      <c r="T18" s="5">
        <v>1901.9</v>
      </c>
      <c r="U18" s="5">
        <v>700288</v>
      </c>
      <c r="V18" s="5">
        <v>221.3</v>
      </c>
      <c r="W18" s="5">
        <f>Crime[[#This Row],[Violent crime2]]+Crime[[#This Row],[Murder and nonnegligent  manslaughter]]+Crime[[#This Row],[Rape (legacy  definition4)]]+Crime[[#This Row],[Robbery]]+Crime[[#This Row],[Aggravated  assault]]+Crime[[#This Row],[Property  crime]]+Crime[[#This Row],[Burglary]]+Crime[[#This Row],[Larceny- theft]]+Crime[[#This Row],[Motor  vehicle  theft]]</f>
        <v>19640380</v>
      </c>
      <c r="X18" s="5">
        <f>Crime[[#This Row],[Violent crime2]]+Crime[[#This Row],[Murder and nonnegligent  manslaughter]]+Crime[[#This Row],[Rape (revised  definition3)]]+Crime[[#This Row],[Robbery]]+Crime[[#This Row],[Aggravated  assault]]+Crime[[#This Row],[Property  crime]]+Crime[[#This Row],[Burglary]]+Crime[[#This Row],[Larceny- theft]]+Crime[[#This Row],[Motor  vehicle  theft]]</f>
        <v>19671966</v>
      </c>
    </row>
    <row r="19" spans="1:24" x14ac:dyDescent="0.25">
      <c r="A19">
        <v>2014</v>
      </c>
      <c r="B19" s="5">
        <v>318907401</v>
      </c>
      <c r="C19" s="5">
        <v>1153022</v>
      </c>
      <c r="D19" s="5">
        <v>361.6</v>
      </c>
      <c r="E19" s="5">
        <v>14164</v>
      </c>
      <c r="F19" s="5">
        <v>4.4000000000000004</v>
      </c>
      <c r="G19" s="5">
        <v>118027</v>
      </c>
      <c r="H19" s="5">
        <v>37</v>
      </c>
      <c r="I19" s="5">
        <v>84864</v>
      </c>
      <c r="J19" s="5">
        <v>26.6</v>
      </c>
      <c r="K19" s="5">
        <v>322905</v>
      </c>
      <c r="L19" s="5">
        <v>101.3</v>
      </c>
      <c r="M19" s="5">
        <v>731089</v>
      </c>
      <c r="N19" s="5">
        <v>229.2</v>
      </c>
      <c r="O19" s="5">
        <v>8209010</v>
      </c>
      <c r="P19" s="5">
        <v>2574.1</v>
      </c>
      <c r="Q19" s="5">
        <v>1713153</v>
      </c>
      <c r="R19" s="5">
        <v>537.20000000000005</v>
      </c>
      <c r="S19" s="5">
        <v>5809054</v>
      </c>
      <c r="T19" s="5">
        <v>1821.5</v>
      </c>
      <c r="U19" s="5">
        <v>686803</v>
      </c>
      <c r="V19" s="5">
        <v>215.4</v>
      </c>
      <c r="W19" s="5">
        <f>Crime[[#This Row],[Violent crime2]]+Crime[[#This Row],[Murder and nonnegligent  manslaughter]]+Crime[[#This Row],[Rape (legacy  definition4)]]+Crime[[#This Row],[Robbery]]+Crime[[#This Row],[Aggravated  assault]]+Crime[[#This Row],[Property  crime]]+Crime[[#This Row],[Burglary]]+Crime[[#This Row],[Larceny- theft]]+Crime[[#This Row],[Motor  vehicle  theft]]</f>
        <v>18724064</v>
      </c>
      <c r="X19" s="5">
        <f>Crime[[#This Row],[Violent crime2]]+Crime[[#This Row],[Murder and nonnegligent  manslaughter]]+Crime[[#This Row],[Rape (revised  definition3)]]+Crime[[#This Row],[Robbery]]+Crime[[#This Row],[Aggravated  assault]]+Crime[[#This Row],[Property  crime]]+Crime[[#This Row],[Burglary]]+Crime[[#This Row],[Larceny- theft]]+Crime[[#This Row],[Motor  vehicle  theft]]</f>
        <v>18757227</v>
      </c>
    </row>
    <row r="20" spans="1:24" x14ac:dyDescent="0.25">
      <c r="A20">
        <v>2015</v>
      </c>
      <c r="B20" s="5">
        <v>320896618</v>
      </c>
      <c r="C20" s="5">
        <v>1199310</v>
      </c>
      <c r="D20" s="5">
        <v>373.7</v>
      </c>
      <c r="E20" s="5">
        <v>15883</v>
      </c>
      <c r="F20" s="5">
        <v>4.9000000000000004</v>
      </c>
      <c r="G20" s="5">
        <v>126134</v>
      </c>
      <c r="H20" s="5">
        <v>39.299999999999997</v>
      </c>
      <c r="I20" s="5">
        <v>91261</v>
      </c>
      <c r="J20" s="5">
        <v>28.4</v>
      </c>
      <c r="K20" s="5">
        <v>328109</v>
      </c>
      <c r="L20" s="5">
        <v>102.2</v>
      </c>
      <c r="M20" s="5">
        <v>764057</v>
      </c>
      <c r="N20" s="5">
        <v>238.1</v>
      </c>
      <c r="O20" s="5">
        <v>8024115</v>
      </c>
      <c r="P20" s="5">
        <v>2500.5</v>
      </c>
      <c r="Q20" s="5">
        <v>1587564</v>
      </c>
      <c r="R20" s="5">
        <v>494.7</v>
      </c>
      <c r="S20" s="5">
        <v>5723488</v>
      </c>
      <c r="T20" s="5">
        <v>1783.6</v>
      </c>
      <c r="U20" s="5">
        <v>713063</v>
      </c>
      <c r="V20" s="5">
        <v>222.2</v>
      </c>
      <c r="W20" s="5">
        <f>Crime[[#This Row],[Violent crime2]]+Crime[[#This Row],[Murder and nonnegligent  manslaughter]]+Crime[[#This Row],[Rape (legacy  definition4)]]+Crime[[#This Row],[Robbery]]+Crime[[#This Row],[Aggravated  assault]]+Crime[[#This Row],[Property  crime]]+Crime[[#This Row],[Burglary]]+Crime[[#This Row],[Larceny- theft]]+Crime[[#This Row],[Motor  vehicle  theft]]</f>
        <v>18446850</v>
      </c>
      <c r="X20" s="5">
        <f>Crime[[#This Row],[Violent crime2]]+Crime[[#This Row],[Murder and nonnegligent  manslaughter]]+Crime[[#This Row],[Rape (revised  definition3)]]+Crime[[#This Row],[Robbery]]+Crime[[#This Row],[Aggravated  assault]]+Crime[[#This Row],[Property  crime]]+Crime[[#This Row],[Burglary]]+Crime[[#This Row],[Larceny- theft]]+Crime[[#This Row],[Motor  vehicle  theft]]</f>
        <v>18481723</v>
      </c>
    </row>
    <row r="21" spans="1:24" x14ac:dyDescent="0.25">
      <c r="A21">
        <v>2016</v>
      </c>
      <c r="B21" s="5">
        <v>323127513</v>
      </c>
      <c r="C21" s="5">
        <v>1248185</v>
      </c>
      <c r="D21" s="5">
        <v>386.3</v>
      </c>
      <c r="E21" s="5">
        <v>17250</v>
      </c>
      <c r="F21" s="5">
        <v>5.3</v>
      </c>
      <c r="G21" s="5">
        <v>130603</v>
      </c>
      <c r="H21" s="5">
        <v>40.4</v>
      </c>
      <c r="I21" s="5">
        <v>95730</v>
      </c>
      <c r="J21" s="5">
        <v>29.6</v>
      </c>
      <c r="K21" s="5">
        <v>332198</v>
      </c>
      <c r="L21" s="5">
        <v>102.8</v>
      </c>
      <c r="M21" s="5">
        <v>803007</v>
      </c>
      <c r="N21" s="5">
        <v>248.5</v>
      </c>
      <c r="O21" s="5">
        <v>7919035</v>
      </c>
      <c r="P21" s="5">
        <v>2450.6999999999998</v>
      </c>
      <c r="Q21" s="5">
        <v>1515096</v>
      </c>
      <c r="R21" s="5">
        <v>468.9</v>
      </c>
      <c r="S21" s="5">
        <v>5638455</v>
      </c>
      <c r="T21" s="5">
        <v>1745</v>
      </c>
      <c r="U21" s="5">
        <v>765484</v>
      </c>
      <c r="V21" s="5">
        <v>236.9</v>
      </c>
      <c r="W21" s="5">
        <f>Crime[[#This Row],[Violent crime2]]+Crime[[#This Row],[Murder and nonnegligent  manslaughter]]+Crime[[#This Row],[Rape (legacy  definition4)]]+Crime[[#This Row],[Robbery]]+Crime[[#This Row],[Aggravated  assault]]+Crime[[#This Row],[Property  crime]]+Crime[[#This Row],[Burglary]]+Crime[[#This Row],[Larceny- theft]]+Crime[[#This Row],[Motor  vehicle  theft]]</f>
        <v>18334440</v>
      </c>
      <c r="X21" s="5">
        <f>Crime[[#This Row],[Violent crime2]]+Crime[[#This Row],[Murder and nonnegligent  manslaughter]]+Crime[[#This Row],[Rape (revised  definition3)]]+Crime[[#This Row],[Robbery]]+Crime[[#This Row],[Aggravated  assault]]+Crime[[#This Row],[Property  crime]]+Crime[[#This Row],[Burglary]]+Crime[[#This Row],[Larceny- theft]]+Crime[[#This Row],[Motor  vehicle  theft]]</f>
        <v>18369313</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91733-364F-49D2-B662-3B769A4F952C}">
  <sheetPr codeName="Sheet1"/>
  <dimension ref="A3:K72"/>
  <sheetViews>
    <sheetView topLeftCell="A37" workbookViewId="0">
      <selection activeCell="B71" sqref="B71"/>
    </sheetView>
  </sheetViews>
  <sheetFormatPr defaultRowHeight="15" x14ac:dyDescent="0.25"/>
  <cols>
    <col min="1" max="1" width="7.28515625" bestFit="1" customWidth="1"/>
    <col min="2" max="2" width="20.85546875" bestFit="1" customWidth="1"/>
    <col min="3" max="3" width="44.42578125" bestFit="1" customWidth="1"/>
    <col min="4" max="4" width="15.140625" bestFit="1" customWidth="1"/>
    <col min="5" max="5" width="25" bestFit="1" customWidth="1"/>
    <col min="6" max="6" width="30.85546875" bestFit="1" customWidth="1"/>
    <col min="7" max="7" width="31.85546875" bestFit="1" customWidth="1"/>
    <col min="8" max="8" width="21.5703125" bestFit="1" customWidth="1"/>
    <col min="9" max="9" width="15" bestFit="1" customWidth="1"/>
    <col min="10" max="10" width="20.140625" bestFit="1" customWidth="1"/>
    <col min="11" max="11" width="26.28515625" bestFit="1" customWidth="1"/>
    <col min="12" max="21" width="11.7109375" bestFit="1" customWidth="1"/>
    <col min="22" max="22" width="11.28515625" bestFit="1" customWidth="1"/>
    <col min="23" max="23" width="20.85546875" bestFit="1" customWidth="1"/>
    <col min="24" max="24" width="15.140625" bestFit="1" customWidth="1"/>
    <col min="25" max="25" width="25" bestFit="1" customWidth="1"/>
    <col min="26" max="26" width="20.85546875" bestFit="1" customWidth="1"/>
    <col min="27" max="27" width="15.140625" bestFit="1" customWidth="1"/>
    <col min="28" max="28" width="25" bestFit="1" customWidth="1"/>
    <col min="29" max="29" width="20.85546875" bestFit="1" customWidth="1"/>
    <col min="30" max="30" width="15.140625" bestFit="1" customWidth="1"/>
    <col min="31" max="31" width="25" bestFit="1" customWidth="1"/>
    <col min="32" max="32" width="20.85546875" bestFit="1" customWidth="1"/>
    <col min="33" max="33" width="15.140625" bestFit="1" customWidth="1"/>
    <col min="34" max="34" width="25" bestFit="1" customWidth="1"/>
    <col min="35" max="35" width="20.85546875" bestFit="1" customWidth="1"/>
    <col min="36" max="36" width="15.140625" bestFit="1" customWidth="1"/>
    <col min="37" max="37" width="25" bestFit="1" customWidth="1"/>
    <col min="38" max="38" width="20.85546875" bestFit="1" customWidth="1"/>
    <col min="39" max="39" width="15.140625" bestFit="1" customWidth="1"/>
    <col min="40" max="40" width="25" bestFit="1" customWidth="1"/>
    <col min="41" max="41" width="20.85546875" bestFit="1" customWidth="1"/>
    <col min="42" max="42" width="15.140625" bestFit="1" customWidth="1"/>
    <col min="43" max="43" width="25" bestFit="1" customWidth="1"/>
    <col min="44" max="44" width="20.85546875" bestFit="1" customWidth="1"/>
    <col min="45" max="45" width="15.140625" bestFit="1" customWidth="1"/>
    <col min="46" max="46" width="25" bestFit="1" customWidth="1"/>
    <col min="47" max="47" width="20.85546875" bestFit="1" customWidth="1"/>
    <col min="48" max="48" width="15.140625" bestFit="1" customWidth="1"/>
    <col min="49" max="49" width="25" bestFit="1" customWidth="1"/>
    <col min="50" max="50" width="20.85546875" bestFit="1" customWidth="1"/>
    <col min="51" max="51" width="15.140625" bestFit="1" customWidth="1"/>
    <col min="52" max="52" width="25" bestFit="1" customWidth="1"/>
    <col min="53" max="53" width="20.85546875" bestFit="1" customWidth="1"/>
    <col min="54" max="54" width="15.140625" bestFit="1" customWidth="1"/>
    <col min="55" max="55" width="25" bestFit="1" customWidth="1"/>
    <col min="56" max="56" width="20.85546875" bestFit="1" customWidth="1"/>
    <col min="57" max="57" width="15.140625" bestFit="1" customWidth="1"/>
    <col min="58" max="58" width="25" bestFit="1" customWidth="1"/>
    <col min="59" max="59" width="20.85546875" bestFit="1" customWidth="1"/>
    <col min="60" max="60" width="15.140625" bestFit="1" customWidth="1"/>
    <col min="61" max="61" width="25" bestFit="1" customWidth="1"/>
    <col min="62" max="62" width="26" bestFit="1" customWidth="1"/>
    <col min="63" max="63" width="20.140625" bestFit="1" customWidth="1"/>
    <col min="64" max="64" width="30.140625" bestFit="1" customWidth="1"/>
  </cols>
  <sheetData>
    <row r="3" spans="1:11" x14ac:dyDescent="0.25">
      <c r="A3" s="2" t="s">
        <v>0</v>
      </c>
      <c r="B3" t="s">
        <v>24</v>
      </c>
      <c r="C3" t="s">
        <v>31</v>
      </c>
      <c r="D3" t="s">
        <v>25</v>
      </c>
      <c r="E3" t="s">
        <v>26</v>
      </c>
      <c r="F3" t="s">
        <v>128</v>
      </c>
      <c r="G3" t="s">
        <v>127</v>
      </c>
      <c r="H3" t="s">
        <v>27</v>
      </c>
      <c r="I3" t="s">
        <v>28</v>
      </c>
      <c r="J3" t="s">
        <v>29</v>
      </c>
      <c r="K3" t="s">
        <v>30</v>
      </c>
    </row>
    <row r="4" spans="1:11" x14ac:dyDescent="0.25">
      <c r="A4">
        <v>1997</v>
      </c>
      <c r="B4" s="1">
        <v>1636096</v>
      </c>
      <c r="C4" s="1">
        <v>18208</v>
      </c>
      <c r="D4" s="1">
        <v>498534</v>
      </c>
      <c r="E4" s="1">
        <v>1023201</v>
      </c>
      <c r="F4" s="4">
        <v>96153</v>
      </c>
      <c r="G4" s="4"/>
      <c r="H4" s="1">
        <v>11558475</v>
      </c>
      <c r="I4" s="1">
        <v>2460526</v>
      </c>
      <c r="J4" s="1">
        <v>7743760</v>
      </c>
      <c r="K4" s="1">
        <v>1354189</v>
      </c>
    </row>
    <row r="5" spans="1:11" x14ac:dyDescent="0.25">
      <c r="A5">
        <v>1998</v>
      </c>
      <c r="B5" s="1">
        <v>1533887</v>
      </c>
      <c r="C5" s="1">
        <v>16974</v>
      </c>
      <c r="D5" s="1">
        <v>447186</v>
      </c>
      <c r="E5" s="1">
        <v>976583</v>
      </c>
      <c r="F5" s="4">
        <v>93144</v>
      </c>
      <c r="G5" s="4"/>
      <c r="H5" s="1">
        <v>10951827</v>
      </c>
      <c r="I5" s="1">
        <v>2332735</v>
      </c>
      <c r="J5" s="1">
        <v>7376311</v>
      </c>
      <c r="K5" s="1">
        <v>1242781</v>
      </c>
    </row>
    <row r="6" spans="1:11" x14ac:dyDescent="0.25">
      <c r="A6">
        <v>1999</v>
      </c>
      <c r="B6" s="1">
        <v>1426044</v>
      </c>
      <c r="C6" s="1">
        <v>15522</v>
      </c>
      <c r="D6" s="1">
        <v>409371</v>
      </c>
      <c r="E6" s="1">
        <v>911740</v>
      </c>
      <c r="F6" s="4">
        <v>89411</v>
      </c>
      <c r="G6" s="4"/>
      <c r="H6" s="1">
        <v>10208334</v>
      </c>
      <c r="I6" s="1">
        <v>2100739</v>
      </c>
      <c r="J6" s="1">
        <v>6955520</v>
      </c>
      <c r="K6" s="1">
        <v>1152075</v>
      </c>
    </row>
    <row r="7" spans="1:11" x14ac:dyDescent="0.25">
      <c r="A7">
        <v>2000</v>
      </c>
      <c r="B7" s="1">
        <v>1425486</v>
      </c>
      <c r="C7" s="1">
        <v>15586</v>
      </c>
      <c r="D7" s="1">
        <v>408016</v>
      </c>
      <c r="E7" s="1">
        <v>911706</v>
      </c>
      <c r="F7" s="4">
        <v>90178</v>
      </c>
      <c r="G7" s="4"/>
      <c r="H7" s="1">
        <v>10182584</v>
      </c>
      <c r="I7" s="1">
        <v>2050992</v>
      </c>
      <c r="J7" s="1">
        <v>6971590</v>
      </c>
      <c r="K7" s="1">
        <v>1160002</v>
      </c>
    </row>
    <row r="8" spans="1:11" x14ac:dyDescent="0.25">
      <c r="A8">
        <v>2001</v>
      </c>
      <c r="B8" s="1">
        <v>1439480</v>
      </c>
      <c r="C8" s="1">
        <v>16037</v>
      </c>
      <c r="D8" s="1">
        <v>423557</v>
      </c>
      <c r="E8" s="1">
        <v>909023</v>
      </c>
      <c r="F8" s="4">
        <v>90863</v>
      </c>
      <c r="G8" s="4"/>
      <c r="H8" s="1">
        <v>10437189</v>
      </c>
      <c r="I8" s="1">
        <v>2116531</v>
      </c>
      <c r="J8" s="1">
        <v>7092267</v>
      </c>
      <c r="K8" s="1">
        <v>1228391</v>
      </c>
    </row>
    <row r="9" spans="1:11" x14ac:dyDescent="0.25">
      <c r="A9">
        <v>2002</v>
      </c>
      <c r="B9" s="1">
        <v>1423677</v>
      </c>
      <c r="C9" s="1">
        <v>16229</v>
      </c>
      <c r="D9" s="1">
        <v>420806</v>
      </c>
      <c r="E9" s="1">
        <v>891407</v>
      </c>
      <c r="F9" s="4">
        <v>95235</v>
      </c>
      <c r="G9" s="4"/>
      <c r="H9" s="1">
        <v>10455277</v>
      </c>
      <c r="I9" s="1">
        <v>2151252</v>
      </c>
      <c r="J9" s="1">
        <v>7057379</v>
      </c>
      <c r="K9" s="1">
        <v>1246646</v>
      </c>
    </row>
    <row r="10" spans="1:11" x14ac:dyDescent="0.25">
      <c r="A10">
        <v>2003</v>
      </c>
      <c r="B10" s="1">
        <v>1383676</v>
      </c>
      <c r="C10" s="1">
        <v>16528</v>
      </c>
      <c r="D10" s="1">
        <v>414235</v>
      </c>
      <c r="E10" s="1">
        <v>859030</v>
      </c>
      <c r="F10" s="4">
        <v>93883</v>
      </c>
      <c r="G10" s="4"/>
      <c r="H10" s="1">
        <v>10442862</v>
      </c>
      <c r="I10" s="1">
        <v>2154834</v>
      </c>
      <c r="J10" s="1">
        <v>7026802</v>
      </c>
      <c r="K10" s="1">
        <v>1261226</v>
      </c>
    </row>
    <row r="11" spans="1:11" x14ac:dyDescent="0.25">
      <c r="A11">
        <v>2004</v>
      </c>
      <c r="B11" s="1">
        <v>1360088</v>
      </c>
      <c r="C11" s="1">
        <v>16148</v>
      </c>
      <c r="D11" s="1">
        <v>401470</v>
      </c>
      <c r="E11" s="1">
        <v>847381</v>
      </c>
      <c r="F11" s="4">
        <v>95089</v>
      </c>
      <c r="G11" s="4"/>
      <c r="H11" s="1">
        <v>10319386</v>
      </c>
      <c r="I11" s="1">
        <v>2144446</v>
      </c>
      <c r="J11" s="1">
        <v>6937089</v>
      </c>
      <c r="K11" s="1">
        <v>1237851</v>
      </c>
    </row>
    <row r="12" spans="1:11" x14ac:dyDescent="0.25">
      <c r="A12">
        <v>2005</v>
      </c>
      <c r="B12" s="1">
        <v>1390745</v>
      </c>
      <c r="C12" s="1">
        <v>16740</v>
      </c>
      <c r="D12" s="1">
        <v>417438</v>
      </c>
      <c r="E12" s="1">
        <v>862220</v>
      </c>
      <c r="F12" s="4">
        <v>94347</v>
      </c>
      <c r="G12" s="4"/>
      <c r="H12" s="1">
        <v>10174754</v>
      </c>
      <c r="I12" s="1">
        <v>2155448</v>
      </c>
      <c r="J12" s="1">
        <v>6783447</v>
      </c>
      <c r="K12" s="1">
        <v>1235859</v>
      </c>
    </row>
    <row r="13" spans="1:11" x14ac:dyDescent="0.25">
      <c r="A13">
        <v>2006</v>
      </c>
      <c r="B13" s="1">
        <v>1435123</v>
      </c>
      <c r="C13" s="1">
        <v>17309</v>
      </c>
      <c r="D13" s="1">
        <v>449246</v>
      </c>
      <c r="E13" s="1">
        <v>874096</v>
      </c>
      <c r="F13" s="4">
        <v>94472</v>
      </c>
      <c r="G13" s="4"/>
      <c r="H13" s="1">
        <v>10019601</v>
      </c>
      <c r="I13" s="1">
        <v>2194993</v>
      </c>
      <c r="J13" s="1">
        <v>6626363</v>
      </c>
      <c r="K13" s="1">
        <v>1198245</v>
      </c>
    </row>
    <row r="14" spans="1:11" x14ac:dyDescent="0.25">
      <c r="A14">
        <v>2007</v>
      </c>
      <c r="B14" s="1">
        <v>1422970</v>
      </c>
      <c r="C14" s="1">
        <v>17128</v>
      </c>
      <c r="D14" s="1">
        <v>447324</v>
      </c>
      <c r="E14" s="1">
        <v>866358</v>
      </c>
      <c r="F14" s="4">
        <v>92160</v>
      </c>
      <c r="G14" s="4"/>
      <c r="H14" s="1">
        <v>9882212</v>
      </c>
      <c r="I14" s="1">
        <v>2190198</v>
      </c>
      <c r="J14" s="1">
        <v>6591542</v>
      </c>
      <c r="K14" s="1">
        <v>1100472</v>
      </c>
    </row>
    <row r="15" spans="1:11" x14ac:dyDescent="0.25">
      <c r="A15">
        <v>2008</v>
      </c>
      <c r="B15" s="1">
        <v>1394461</v>
      </c>
      <c r="C15" s="1">
        <v>16465</v>
      </c>
      <c r="D15" s="1">
        <v>443563</v>
      </c>
      <c r="E15" s="1">
        <v>843683</v>
      </c>
      <c r="F15" s="4">
        <v>90750</v>
      </c>
      <c r="G15" s="4"/>
      <c r="H15" s="1">
        <v>9774152</v>
      </c>
      <c r="I15" s="1">
        <v>2228887</v>
      </c>
      <c r="J15" s="1">
        <v>6586206</v>
      </c>
      <c r="K15" s="1">
        <v>959059</v>
      </c>
    </row>
    <row r="16" spans="1:11" x14ac:dyDescent="0.25">
      <c r="A16">
        <v>2009</v>
      </c>
      <c r="B16" s="1">
        <v>1325896</v>
      </c>
      <c r="C16" s="1">
        <v>15399</v>
      </c>
      <c r="D16" s="1">
        <v>408742</v>
      </c>
      <c r="E16" s="1">
        <v>812514</v>
      </c>
      <c r="F16" s="4">
        <v>89241</v>
      </c>
      <c r="G16" s="4"/>
      <c r="H16" s="1">
        <v>9337060</v>
      </c>
      <c r="I16" s="1">
        <v>2203313</v>
      </c>
      <c r="J16" s="1">
        <v>6338095</v>
      </c>
      <c r="K16" s="1">
        <v>795652</v>
      </c>
    </row>
    <row r="17" spans="1:11" x14ac:dyDescent="0.25">
      <c r="A17">
        <v>2010</v>
      </c>
      <c r="B17" s="1">
        <v>1251248</v>
      </c>
      <c r="C17" s="1">
        <v>14722</v>
      </c>
      <c r="D17" s="1">
        <v>369089</v>
      </c>
      <c r="E17" s="1">
        <v>781844</v>
      </c>
      <c r="F17" s="4">
        <v>85593</v>
      </c>
      <c r="G17" s="4"/>
      <c r="H17" s="1">
        <v>9112625</v>
      </c>
      <c r="I17" s="1">
        <v>2168459</v>
      </c>
      <c r="J17" s="1">
        <v>6204601</v>
      </c>
      <c r="K17" s="1">
        <v>739565</v>
      </c>
    </row>
    <row r="18" spans="1:11" x14ac:dyDescent="0.25">
      <c r="A18">
        <v>2011</v>
      </c>
      <c r="B18" s="1">
        <v>1206005</v>
      </c>
      <c r="C18" s="1">
        <v>14661</v>
      </c>
      <c r="D18" s="1">
        <v>354746</v>
      </c>
      <c r="E18" s="1">
        <v>752423</v>
      </c>
      <c r="F18" s="4">
        <v>84175</v>
      </c>
      <c r="G18" s="4"/>
      <c r="H18" s="1">
        <v>9052743</v>
      </c>
      <c r="I18" s="1">
        <v>2185140</v>
      </c>
      <c r="J18" s="1">
        <v>6151095</v>
      </c>
      <c r="K18" s="1">
        <v>716508</v>
      </c>
    </row>
    <row r="19" spans="1:11" x14ac:dyDescent="0.25">
      <c r="A19">
        <v>2012</v>
      </c>
      <c r="B19" s="1">
        <v>1217057</v>
      </c>
      <c r="C19" s="1">
        <v>14856</v>
      </c>
      <c r="D19" s="1">
        <v>355051</v>
      </c>
      <c r="E19" s="1">
        <v>762009</v>
      </c>
      <c r="F19" s="4">
        <v>85141</v>
      </c>
      <c r="G19" s="4"/>
      <c r="H19" s="1">
        <v>9001992</v>
      </c>
      <c r="I19" s="1">
        <v>2109932</v>
      </c>
      <c r="J19" s="1">
        <v>6168874</v>
      </c>
      <c r="K19" s="1">
        <v>723186</v>
      </c>
    </row>
    <row r="20" spans="1:11" x14ac:dyDescent="0.25">
      <c r="A20">
        <v>2013</v>
      </c>
      <c r="B20" s="1">
        <v>1168298</v>
      </c>
      <c r="C20" s="1">
        <v>14319</v>
      </c>
      <c r="D20" s="1">
        <v>345093</v>
      </c>
      <c r="E20" s="1">
        <v>726777</v>
      </c>
      <c r="F20" s="4">
        <v>82109</v>
      </c>
      <c r="G20" s="4">
        <v>113695</v>
      </c>
      <c r="H20" s="1">
        <v>8651892</v>
      </c>
      <c r="I20" s="1">
        <v>1932139</v>
      </c>
      <c r="J20" s="1">
        <v>6019465</v>
      </c>
      <c r="K20" s="1">
        <v>700288</v>
      </c>
    </row>
    <row r="21" spans="1:11" x14ac:dyDescent="0.25">
      <c r="A21">
        <v>2014</v>
      </c>
      <c r="B21" s="1">
        <v>1153022</v>
      </c>
      <c r="C21" s="1">
        <v>14164</v>
      </c>
      <c r="D21" s="1">
        <v>322905</v>
      </c>
      <c r="E21" s="1">
        <v>731089</v>
      </c>
      <c r="F21" s="4">
        <v>84864</v>
      </c>
      <c r="G21" s="4">
        <v>118027</v>
      </c>
      <c r="H21" s="1">
        <v>8209010</v>
      </c>
      <c r="I21" s="1">
        <v>1713153</v>
      </c>
      <c r="J21" s="1">
        <v>5809054</v>
      </c>
      <c r="K21" s="1">
        <v>686803</v>
      </c>
    </row>
    <row r="22" spans="1:11" x14ac:dyDescent="0.25">
      <c r="A22">
        <v>2015</v>
      </c>
      <c r="B22" s="1">
        <v>1199310</v>
      </c>
      <c r="C22" s="1">
        <v>15883</v>
      </c>
      <c r="D22" s="1">
        <v>328109</v>
      </c>
      <c r="E22" s="1">
        <v>764057</v>
      </c>
      <c r="F22" s="4">
        <v>91261</v>
      </c>
      <c r="G22" s="4">
        <v>126134</v>
      </c>
      <c r="H22" s="1">
        <v>8024115</v>
      </c>
      <c r="I22" s="1">
        <v>1587564</v>
      </c>
      <c r="J22" s="1">
        <v>5723488</v>
      </c>
      <c r="K22" s="1">
        <v>713063</v>
      </c>
    </row>
    <row r="23" spans="1:11" x14ac:dyDescent="0.25">
      <c r="A23">
        <v>2016</v>
      </c>
      <c r="B23" s="1">
        <v>1248185</v>
      </c>
      <c r="C23" s="1">
        <v>17250</v>
      </c>
      <c r="D23" s="1">
        <v>332198</v>
      </c>
      <c r="E23" s="1">
        <v>803007</v>
      </c>
      <c r="F23" s="4">
        <v>95730</v>
      </c>
      <c r="G23" s="4">
        <v>130603</v>
      </c>
      <c r="H23" s="1">
        <v>7919035</v>
      </c>
      <c r="I23" s="1">
        <v>1515096</v>
      </c>
      <c r="J23" s="1">
        <v>5638455</v>
      </c>
      <c r="K23" s="1">
        <v>765484</v>
      </c>
    </row>
    <row r="52" spans="1:3" x14ac:dyDescent="0.25">
      <c r="A52" s="2" t="s">
        <v>22</v>
      </c>
      <c r="B52" t="s">
        <v>131</v>
      </c>
      <c r="C52" t="s">
        <v>132</v>
      </c>
    </row>
    <row r="53" spans="1:3" x14ac:dyDescent="0.25">
      <c r="A53" s="3">
        <v>1997</v>
      </c>
      <c r="B53" s="5">
        <v>26389142</v>
      </c>
      <c r="C53" s="5">
        <v>26292989</v>
      </c>
    </row>
    <row r="54" spans="1:3" x14ac:dyDescent="0.25">
      <c r="A54" s="3">
        <v>1998</v>
      </c>
      <c r="B54" s="5">
        <v>24971428</v>
      </c>
      <c r="C54" s="5">
        <v>24878284</v>
      </c>
    </row>
    <row r="55" spans="1:3" x14ac:dyDescent="0.25">
      <c r="A55" s="3">
        <v>1999</v>
      </c>
      <c r="B55" s="5">
        <v>23268756</v>
      </c>
      <c r="C55" s="5">
        <v>23179345</v>
      </c>
    </row>
    <row r="56" spans="1:3" x14ac:dyDescent="0.25">
      <c r="A56" s="3">
        <v>2000</v>
      </c>
      <c r="B56" s="5">
        <v>23216140</v>
      </c>
      <c r="C56" s="5">
        <v>23125962</v>
      </c>
    </row>
    <row r="57" spans="1:3" x14ac:dyDescent="0.25">
      <c r="A57" s="3">
        <v>2001</v>
      </c>
      <c r="B57" s="5">
        <v>23753338</v>
      </c>
      <c r="C57" s="5">
        <v>23662475</v>
      </c>
    </row>
    <row r="58" spans="1:3" x14ac:dyDescent="0.25">
      <c r="A58" s="3">
        <v>2002</v>
      </c>
      <c r="B58" s="5">
        <v>23757908</v>
      </c>
      <c r="C58" s="5">
        <v>23662673</v>
      </c>
    </row>
    <row r="59" spans="1:3" x14ac:dyDescent="0.25">
      <c r="A59" s="3">
        <v>2003</v>
      </c>
      <c r="B59" s="5">
        <v>23653076</v>
      </c>
      <c r="C59" s="5">
        <v>23559193</v>
      </c>
    </row>
    <row r="60" spans="1:3" x14ac:dyDescent="0.25">
      <c r="A60" s="3">
        <v>2004</v>
      </c>
      <c r="B60" s="5">
        <v>23358948</v>
      </c>
      <c r="C60" s="5">
        <v>23263859</v>
      </c>
    </row>
    <row r="61" spans="1:3" x14ac:dyDescent="0.25">
      <c r="A61" s="3">
        <v>2005</v>
      </c>
      <c r="B61" s="5">
        <v>23130998</v>
      </c>
      <c r="C61" s="5">
        <v>23036651</v>
      </c>
    </row>
    <row r="62" spans="1:3" x14ac:dyDescent="0.25">
      <c r="A62" s="3">
        <v>2006</v>
      </c>
      <c r="B62" s="5">
        <v>22909448</v>
      </c>
      <c r="C62" s="5">
        <v>22814976</v>
      </c>
    </row>
    <row r="63" spans="1:3" x14ac:dyDescent="0.25">
      <c r="A63" s="3">
        <v>2007</v>
      </c>
      <c r="B63" s="5">
        <v>22610364</v>
      </c>
      <c r="C63" s="5">
        <v>22518204</v>
      </c>
    </row>
    <row r="64" spans="1:3" x14ac:dyDescent="0.25">
      <c r="A64" s="3">
        <v>2008</v>
      </c>
      <c r="B64" s="5">
        <v>22337226</v>
      </c>
      <c r="C64" s="5">
        <v>22246476</v>
      </c>
    </row>
    <row r="65" spans="1:3" x14ac:dyDescent="0.25">
      <c r="A65" s="3">
        <v>2009</v>
      </c>
      <c r="B65" s="5">
        <v>21325912</v>
      </c>
      <c r="C65" s="5">
        <v>21236671</v>
      </c>
    </row>
    <row r="66" spans="1:3" x14ac:dyDescent="0.25">
      <c r="A66" s="3">
        <v>2010</v>
      </c>
      <c r="B66" s="5">
        <v>20727746</v>
      </c>
      <c r="C66" s="5">
        <v>20642153</v>
      </c>
    </row>
    <row r="67" spans="1:3" x14ac:dyDescent="0.25">
      <c r="A67" s="3">
        <v>2011</v>
      </c>
      <c r="B67" s="5">
        <v>20517496</v>
      </c>
      <c r="C67" s="5">
        <v>20433321</v>
      </c>
    </row>
    <row r="68" spans="1:3" x14ac:dyDescent="0.25">
      <c r="A68" s="3">
        <v>2012</v>
      </c>
      <c r="B68" s="5">
        <v>20438098</v>
      </c>
      <c r="C68" s="5">
        <v>20352957</v>
      </c>
    </row>
    <row r="69" spans="1:3" x14ac:dyDescent="0.25">
      <c r="A69" s="3">
        <v>2013</v>
      </c>
      <c r="B69" s="5">
        <v>19640380</v>
      </c>
      <c r="C69" s="5">
        <v>19671966</v>
      </c>
    </row>
    <row r="70" spans="1:3" x14ac:dyDescent="0.25">
      <c r="A70" s="3">
        <v>2014</v>
      </c>
      <c r="B70" s="5">
        <v>18724064</v>
      </c>
      <c r="C70" s="5">
        <v>18757227</v>
      </c>
    </row>
    <row r="71" spans="1:3" x14ac:dyDescent="0.25">
      <c r="A71" s="3">
        <v>2015</v>
      </c>
      <c r="B71" s="5">
        <v>18446850</v>
      </c>
      <c r="C71" s="5">
        <v>18481723</v>
      </c>
    </row>
    <row r="72" spans="1:3" x14ac:dyDescent="0.25">
      <c r="A72" s="3">
        <v>2016</v>
      </c>
      <c r="B72" s="5">
        <v>18334440</v>
      </c>
      <c r="C72" s="5">
        <v>18369313</v>
      </c>
    </row>
  </sheetData>
  <pageMargins left="0.7" right="0.7" top="0.75" bottom="0.75" header="0.3" footer="0.3"/>
  <pageSetup orientation="portrait" r:id="rId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97EE1-CF95-40C8-B9DB-54C87F3FADC5}">
  <sheetPr codeName="Sheet4"/>
  <dimension ref="A3:U89"/>
  <sheetViews>
    <sheetView topLeftCell="K61" workbookViewId="0">
      <selection activeCell="F8" sqref="F8"/>
    </sheetView>
  </sheetViews>
  <sheetFormatPr defaultRowHeight="15" x14ac:dyDescent="0.25"/>
  <cols>
    <col min="1" max="1" width="13.140625" bestFit="1" customWidth="1"/>
    <col min="2" max="2" width="20.85546875" bestFit="1" customWidth="1"/>
    <col min="3" max="3" width="44.42578125" bestFit="1" customWidth="1"/>
    <col min="4" max="4" width="31.85546875" bestFit="1" customWidth="1"/>
    <col min="5" max="5" width="30.85546875" bestFit="1" customWidth="1"/>
    <col min="6" max="6" width="15.140625" bestFit="1" customWidth="1"/>
    <col min="7" max="7" width="25" bestFit="1" customWidth="1"/>
    <col min="8" max="8" width="21.5703125" bestFit="1" customWidth="1"/>
    <col min="9" max="9" width="15" bestFit="1" customWidth="1"/>
    <col min="10" max="10" width="20.140625" bestFit="1" customWidth="1"/>
    <col min="11" max="11" width="26.28515625" bestFit="1" customWidth="1"/>
    <col min="12" max="20" width="16.28515625" bestFit="1" customWidth="1"/>
    <col min="21" max="22" width="11.28515625" bestFit="1" customWidth="1"/>
    <col min="23" max="40" width="23.140625" bestFit="1" customWidth="1"/>
    <col min="41" max="41" width="28.140625" bestFit="1" customWidth="1"/>
    <col min="42" max="42" width="25.85546875" bestFit="1" customWidth="1"/>
  </cols>
  <sheetData>
    <row r="3" spans="1:11" x14ac:dyDescent="0.25">
      <c r="A3" s="2" t="s">
        <v>22</v>
      </c>
      <c r="B3" t="s">
        <v>24</v>
      </c>
      <c r="C3" t="s">
        <v>31</v>
      </c>
      <c r="D3" t="s">
        <v>127</v>
      </c>
      <c r="E3" t="s">
        <v>128</v>
      </c>
      <c r="F3" t="s">
        <v>25</v>
      </c>
      <c r="G3" t="s">
        <v>26</v>
      </c>
      <c r="H3" t="s">
        <v>27</v>
      </c>
      <c r="I3" t="s">
        <v>28</v>
      </c>
      <c r="J3" t="s">
        <v>29</v>
      </c>
      <c r="K3" t="s">
        <v>30</v>
      </c>
    </row>
    <row r="4" spans="1:11" x14ac:dyDescent="0.25">
      <c r="A4" s="3">
        <v>1997</v>
      </c>
      <c r="B4" s="5">
        <v>1636096</v>
      </c>
      <c r="C4" s="5">
        <v>18208</v>
      </c>
      <c r="D4" s="5"/>
      <c r="E4" s="5">
        <v>96153</v>
      </c>
      <c r="F4" s="5">
        <v>498534</v>
      </c>
      <c r="G4" s="5">
        <v>1023201</v>
      </c>
      <c r="H4" s="5">
        <v>11558475</v>
      </c>
      <c r="I4" s="5">
        <v>2460526</v>
      </c>
      <c r="J4" s="5">
        <v>7743760</v>
      </c>
      <c r="K4" s="5">
        <v>1354189</v>
      </c>
    </row>
    <row r="5" spans="1:11" x14ac:dyDescent="0.25">
      <c r="A5" s="3">
        <v>1998</v>
      </c>
      <c r="B5" s="5">
        <v>1533887</v>
      </c>
      <c r="C5" s="5">
        <v>16974</v>
      </c>
      <c r="D5" s="5"/>
      <c r="E5" s="5">
        <v>93144</v>
      </c>
      <c r="F5" s="5">
        <v>447186</v>
      </c>
      <c r="G5" s="5">
        <v>976583</v>
      </c>
      <c r="H5" s="5">
        <v>10951827</v>
      </c>
      <c r="I5" s="5">
        <v>2332735</v>
      </c>
      <c r="J5" s="5">
        <v>7376311</v>
      </c>
      <c r="K5" s="5">
        <v>1242781</v>
      </c>
    </row>
    <row r="6" spans="1:11" x14ac:dyDescent="0.25">
      <c r="A6" s="3">
        <v>1999</v>
      </c>
      <c r="B6" s="5">
        <v>1426044</v>
      </c>
      <c r="C6" s="5">
        <v>15522</v>
      </c>
      <c r="D6" s="5"/>
      <c r="E6" s="5">
        <v>89411</v>
      </c>
      <c r="F6" s="5">
        <v>409371</v>
      </c>
      <c r="G6" s="5">
        <v>911740</v>
      </c>
      <c r="H6" s="5">
        <v>10208334</v>
      </c>
      <c r="I6" s="5">
        <v>2100739</v>
      </c>
      <c r="J6" s="5">
        <v>6955520</v>
      </c>
      <c r="K6" s="5">
        <v>1152075</v>
      </c>
    </row>
    <row r="7" spans="1:11" x14ac:dyDescent="0.25">
      <c r="A7" s="3">
        <v>2000</v>
      </c>
      <c r="B7" s="5">
        <v>1425486</v>
      </c>
      <c r="C7" s="5">
        <v>15586</v>
      </c>
      <c r="D7" s="5"/>
      <c r="E7" s="5">
        <v>90178</v>
      </c>
      <c r="F7" s="5">
        <v>408016</v>
      </c>
      <c r="G7" s="5">
        <v>911706</v>
      </c>
      <c r="H7" s="5">
        <v>10182584</v>
      </c>
      <c r="I7" s="5">
        <v>2050992</v>
      </c>
      <c r="J7" s="5">
        <v>6971590</v>
      </c>
      <c r="K7" s="5">
        <v>1160002</v>
      </c>
    </row>
    <row r="8" spans="1:11" x14ac:dyDescent="0.25">
      <c r="A8" s="3">
        <v>2001</v>
      </c>
      <c r="B8" s="5">
        <v>1439480</v>
      </c>
      <c r="C8" s="5">
        <v>16037</v>
      </c>
      <c r="D8" s="5"/>
      <c r="E8" s="5">
        <v>90863</v>
      </c>
      <c r="F8" s="5">
        <v>423557</v>
      </c>
      <c r="G8" s="5">
        <v>909023</v>
      </c>
      <c r="H8" s="5">
        <v>10437189</v>
      </c>
      <c r="I8" s="5">
        <v>2116531</v>
      </c>
      <c r="J8" s="5">
        <v>7092267</v>
      </c>
      <c r="K8" s="5">
        <v>1228391</v>
      </c>
    </row>
    <row r="9" spans="1:11" x14ac:dyDescent="0.25">
      <c r="A9" s="3">
        <v>2002</v>
      </c>
      <c r="B9" s="5">
        <v>1423677</v>
      </c>
      <c r="C9" s="5">
        <v>16229</v>
      </c>
      <c r="D9" s="5"/>
      <c r="E9" s="5">
        <v>95235</v>
      </c>
      <c r="F9" s="5">
        <v>420806</v>
      </c>
      <c r="G9" s="5">
        <v>891407</v>
      </c>
      <c r="H9" s="5">
        <v>10455277</v>
      </c>
      <c r="I9" s="5">
        <v>2151252</v>
      </c>
      <c r="J9" s="5">
        <v>7057379</v>
      </c>
      <c r="K9" s="5">
        <v>1246646</v>
      </c>
    </row>
    <row r="10" spans="1:11" x14ac:dyDescent="0.25">
      <c r="A10" s="3">
        <v>2003</v>
      </c>
      <c r="B10" s="5">
        <v>1383676</v>
      </c>
      <c r="C10" s="5">
        <v>16528</v>
      </c>
      <c r="D10" s="5"/>
      <c r="E10" s="5">
        <v>93883</v>
      </c>
      <c r="F10" s="5">
        <v>414235</v>
      </c>
      <c r="G10" s="5">
        <v>859030</v>
      </c>
      <c r="H10" s="5">
        <v>10442862</v>
      </c>
      <c r="I10" s="5">
        <v>2154834</v>
      </c>
      <c r="J10" s="5">
        <v>7026802</v>
      </c>
      <c r="K10" s="5">
        <v>1261226</v>
      </c>
    </row>
    <row r="11" spans="1:11" x14ac:dyDescent="0.25">
      <c r="A11" s="3">
        <v>2004</v>
      </c>
      <c r="B11" s="5">
        <v>1360088</v>
      </c>
      <c r="C11" s="5">
        <v>16148</v>
      </c>
      <c r="D11" s="5"/>
      <c r="E11" s="5">
        <v>95089</v>
      </c>
      <c r="F11" s="5">
        <v>401470</v>
      </c>
      <c r="G11" s="5">
        <v>847381</v>
      </c>
      <c r="H11" s="5">
        <v>10319386</v>
      </c>
      <c r="I11" s="5">
        <v>2144446</v>
      </c>
      <c r="J11" s="5">
        <v>6937089</v>
      </c>
      <c r="K11" s="5">
        <v>1237851</v>
      </c>
    </row>
    <row r="12" spans="1:11" x14ac:dyDescent="0.25">
      <c r="A12" s="3">
        <v>2005</v>
      </c>
      <c r="B12" s="5">
        <v>1390745</v>
      </c>
      <c r="C12" s="5">
        <v>16740</v>
      </c>
      <c r="D12" s="5"/>
      <c r="E12" s="5">
        <v>94347</v>
      </c>
      <c r="F12" s="5">
        <v>417438</v>
      </c>
      <c r="G12" s="5">
        <v>862220</v>
      </c>
      <c r="H12" s="5">
        <v>10174754</v>
      </c>
      <c r="I12" s="5">
        <v>2155448</v>
      </c>
      <c r="J12" s="5">
        <v>6783447</v>
      </c>
      <c r="K12" s="5">
        <v>1235859</v>
      </c>
    </row>
    <row r="13" spans="1:11" x14ac:dyDescent="0.25">
      <c r="A13" s="3">
        <v>2006</v>
      </c>
      <c r="B13" s="5">
        <v>1435123</v>
      </c>
      <c r="C13" s="5">
        <v>17309</v>
      </c>
      <c r="D13" s="5"/>
      <c r="E13" s="5">
        <v>94472</v>
      </c>
      <c r="F13" s="5">
        <v>449246</v>
      </c>
      <c r="G13" s="5">
        <v>874096</v>
      </c>
      <c r="H13" s="5">
        <v>10019601</v>
      </c>
      <c r="I13" s="5">
        <v>2194993</v>
      </c>
      <c r="J13" s="5">
        <v>6626363</v>
      </c>
      <c r="K13" s="5">
        <v>1198245</v>
      </c>
    </row>
    <row r="14" spans="1:11" x14ac:dyDescent="0.25">
      <c r="A14" s="3">
        <v>2007</v>
      </c>
      <c r="B14" s="5">
        <v>1422970</v>
      </c>
      <c r="C14" s="5">
        <v>17128</v>
      </c>
      <c r="D14" s="5"/>
      <c r="E14" s="5">
        <v>92160</v>
      </c>
      <c r="F14" s="5">
        <v>447324</v>
      </c>
      <c r="G14" s="5">
        <v>866358</v>
      </c>
      <c r="H14" s="5">
        <v>9882212</v>
      </c>
      <c r="I14" s="5">
        <v>2190198</v>
      </c>
      <c r="J14" s="5">
        <v>6591542</v>
      </c>
      <c r="K14" s="5">
        <v>1100472</v>
      </c>
    </row>
    <row r="15" spans="1:11" x14ac:dyDescent="0.25">
      <c r="A15" s="3">
        <v>2008</v>
      </c>
      <c r="B15" s="5">
        <v>1394461</v>
      </c>
      <c r="C15" s="5">
        <v>16465</v>
      </c>
      <c r="D15" s="5"/>
      <c r="E15" s="5">
        <v>90750</v>
      </c>
      <c r="F15" s="5">
        <v>443563</v>
      </c>
      <c r="G15" s="5">
        <v>843683</v>
      </c>
      <c r="H15" s="5">
        <v>9774152</v>
      </c>
      <c r="I15" s="5">
        <v>2228887</v>
      </c>
      <c r="J15" s="5">
        <v>6586206</v>
      </c>
      <c r="K15" s="5">
        <v>959059</v>
      </c>
    </row>
    <row r="16" spans="1:11" x14ac:dyDescent="0.25">
      <c r="A16" s="3">
        <v>2009</v>
      </c>
      <c r="B16" s="5">
        <v>1325896</v>
      </c>
      <c r="C16" s="5">
        <v>15399</v>
      </c>
      <c r="D16" s="5"/>
      <c r="E16" s="5">
        <v>89241</v>
      </c>
      <c r="F16" s="5">
        <v>408742</v>
      </c>
      <c r="G16" s="5">
        <v>812514</v>
      </c>
      <c r="H16" s="5">
        <v>9337060</v>
      </c>
      <c r="I16" s="5">
        <v>2203313</v>
      </c>
      <c r="J16" s="5">
        <v>6338095</v>
      </c>
      <c r="K16" s="5">
        <v>795652</v>
      </c>
    </row>
    <row r="17" spans="1:21" x14ac:dyDescent="0.25">
      <c r="A17" s="3">
        <v>2010</v>
      </c>
      <c r="B17" s="5">
        <v>1251248</v>
      </c>
      <c r="C17" s="5">
        <v>14722</v>
      </c>
      <c r="D17" s="5"/>
      <c r="E17" s="5">
        <v>85593</v>
      </c>
      <c r="F17" s="5">
        <v>369089</v>
      </c>
      <c r="G17" s="5">
        <v>781844</v>
      </c>
      <c r="H17" s="5">
        <v>9112625</v>
      </c>
      <c r="I17" s="5">
        <v>2168459</v>
      </c>
      <c r="J17" s="5">
        <v>6204601</v>
      </c>
      <c r="K17" s="5">
        <v>739565</v>
      </c>
    </row>
    <row r="18" spans="1:21" x14ac:dyDescent="0.25">
      <c r="A18" s="3">
        <v>2011</v>
      </c>
      <c r="B18" s="5">
        <v>1206005</v>
      </c>
      <c r="C18" s="5">
        <v>14661</v>
      </c>
      <c r="D18" s="5"/>
      <c r="E18" s="5">
        <v>84175</v>
      </c>
      <c r="F18" s="5">
        <v>354746</v>
      </c>
      <c r="G18" s="5">
        <v>752423</v>
      </c>
      <c r="H18" s="5">
        <v>9052743</v>
      </c>
      <c r="I18" s="5">
        <v>2185140</v>
      </c>
      <c r="J18" s="5">
        <v>6151095</v>
      </c>
      <c r="K18" s="5">
        <v>716508</v>
      </c>
    </row>
    <row r="19" spans="1:21" x14ac:dyDescent="0.25">
      <c r="A19" s="3">
        <v>2012</v>
      </c>
      <c r="B19" s="5">
        <v>1217057</v>
      </c>
      <c r="C19" s="5">
        <v>14856</v>
      </c>
      <c r="D19" s="5"/>
      <c r="E19" s="5">
        <v>85141</v>
      </c>
      <c r="F19" s="5">
        <v>355051</v>
      </c>
      <c r="G19" s="5">
        <v>762009</v>
      </c>
      <c r="H19" s="5">
        <v>9001992</v>
      </c>
      <c r="I19" s="5">
        <v>2109932</v>
      </c>
      <c r="J19" s="5">
        <v>6168874</v>
      </c>
      <c r="K19" s="5">
        <v>723186</v>
      </c>
    </row>
    <row r="20" spans="1:21" x14ac:dyDescent="0.25">
      <c r="A20" s="3">
        <v>2013</v>
      </c>
      <c r="B20" s="5">
        <v>1168298</v>
      </c>
      <c r="C20" s="5">
        <v>14319</v>
      </c>
      <c r="D20" s="5">
        <v>113695</v>
      </c>
      <c r="E20" s="5">
        <v>82109</v>
      </c>
      <c r="F20" s="5">
        <v>345093</v>
      </c>
      <c r="G20" s="5">
        <v>726777</v>
      </c>
      <c r="H20" s="5">
        <v>8651892</v>
      </c>
      <c r="I20" s="5">
        <v>1932139</v>
      </c>
      <c r="J20" s="5">
        <v>6019465</v>
      </c>
      <c r="K20" s="5">
        <v>700288</v>
      </c>
    </row>
    <row r="21" spans="1:21" x14ac:dyDescent="0.25">
      <c r="A21" s="3">
        <v>2014</v>
      </c>
      <c r="B21" s="5">
        <v>1153022</v>
      </c>
      <c r="C21" s="5">
        <v>14164</v>
      </c>
      <c r="D21" s="5">
        <v>118027</v>
      </c>
      <c r="E21" s="5">
        <v>84864</v>
      </c>
      <c r="F21" s="5">
        <v>322905</v>
      </c>
      <c r="G21" s="5">
        <v>731089</v>
      </c>
      <c r="H21" s="5">
        <v>8209010</v>
      </c>
      <c r="I21" s="5">
        <v>1713153</v>
      </c>
      <c r="J21" s="5">
        <v>5809054</v>
      </c>
      <c r="K21" s="5">
        <v>686803</v>
      </c>
    </row>
    <row r="22" spans="1:21" x14ac:dyDescent="0.25">
      <c r="A22" s="3">
        <v>2015</v>
      </c>
      <c r="B22" s="5">
        <v>1199310</v>
      </c>
      <c r="C22" s="5">
        <v>15883</v>
      </c>
      <c r="D22" s="5">
        <v>126134</v>
      </c>
      <c r="E22" s="5">
        <v>91261</v>
      </c>
      <c r="F22" s="5">
        <v>328109</v>
      </c>
      <c r="G22" s="5">
        <v>764057</v>
      </c>
      <c r="H22" s="5">
        <v>8024115</v>
      </c>
      <c r="I22" s="5">
        <v>1587564</v>
      </c>
      <c r="J22" s="5">
        <v>5723488</v>
      </c>
      <c r="K22" s="5">
        <v>713063</v>
      </c>
    </row>
    <row r="23" spans="1:21" x14ac:dyDescent="0.25">
      <c r="A23" s="3">
        <v>2016</v>
      </c>
      <c r="B23" s="5">
        <v>1248185</v>
      </c>
      <c r="C23" s="5">
        <v>17250</v>
      </c>
      <c r="D23" s="5">
        <v>130603</v>
      </c>
      <c r="E23" s="5">
        <v>95730</v>
      </c>
      <c r="F23" s="5">
        <v>332198</v>
      </c>
      <c r="G23" s="5">
        <v>803007</v>
      </c>
      <c r="H23" s="5">
        <v>7919035</v>
      </c>
      <c r="I23" s="5">
        <v>1515096</v>
      </c>
      <c r="J23" s="5">
        <v>5638455</v>
      </c>
      <c r="K23" s="5">
        <v>765484</v>
      </c>
    </row>
    <row r="24" spans="1:21" x14ac:dyDescent="0.25">
      <c r="A24" s="3" t="s">
        <v>23</v>
      </c>
      <c r="B24" s="4">
        <v>27040754</v>
      </c>
      <c r="C24" s="4">
        <v>320128</v>
      </c>
      <c r="D24" s="4">
        <v>488459</v>
      </c>
      <c r="E24" s="4">
        <v>1813799</v>
      </c>
      <c r="F24" s="4">
        <v>7996679</v>
      </c>
      <c r="G24" s="4">
        <v>16910148</v>
      </c>
      <c r="H24" s="4">
        <v>193715125</v>
      </c>
      <c r="I24" s="4">
        <v>41696377</v>
      </c>
      <c r="J24" s="4">
        <v>131801403</v>
      </c>
      <c r="K24" s="4">
        <v>20217345</v>
      </c>
    </row>
    <row r="27" spans="1:21" x14ac:dyDescent="0.25">
      <c r="B27" s="10">
        <v>1997</v>
      </c>
      <c r="C27" s="10">
        <v>1998</v>
      </c>
      <c r="D27" s="10">
        <v>1999</v>
      </c>
      <c r="E27" s="10">
        <v>2000</v>
      </c>
      <c r="F27" s="10">
        <v>2001</v>
      </c>
      <c r="G27" s="10">
        <v>2002</v>
      </c>
      <c r="H27" s="10">
        <v>2003</v>
      </c>
      <c r="I27" s="10">
        <v>2004</v>
      </c>
      <c r="J27" s="10">
        <v>2005</v>
      </c>
      <c r="K27" s="10">
        <v>2006</v>
      </c>
      <c r="L27" s="10">
        <v>2007</v>
      </c>
      <c r="M27" s="10">
        <v>2008</v>
      </c>
      <c r="N27" s="10">
        <v>2009</v>
      </c>
      <c r="O27" s="10">
        <v>2010</v>
      </c>
      <c r="P27" s="10">
        <v>2011</v>
      </c>
      <c r="Q27" s="10">
        <v>2012</v>
      </c>
      <c r="R27" s="10">
        <v>2013</v>
      </c>
      <c r="S27" s="10">
        <v>2014</v>
      </c>
      <c r="T27" s="10">
        <v>2015</v>
      </c>
      <c r="U27" s="10">
        <v>2016</v>
      </c>
    </row>
    <row r="28" spans="1:21" x14ac:dyDescent="0.25">
      <c r="A28" s="6" t="s">
        <v>36</v>
      </c>
      <c r="B28" s="5">
        <f>SUMIFS(Crime[Violent crime2], Crime[Year],B$27)</f>
        <v>1636096</v>
      </c>
      <c r="C28" s="5">
        <f>SUMIFS(Crime[Violent crime2], Crime[Year],C$27)</f>
        <v>1533887</v>
      </c>
      <c r="D28" s="5">
        <f>SUMIFS(Crime[Violent crime2], Crime[Year],D$27)</f>
        <v>1426044</v>
      </c>
      <c r="E28" s="5">
        <f>SUMIFS(Crime[Violent crime2], Crime[Year],E$27)</f>
        <v>1425486</v>
      </c>
      <c r="F28" s="5">
        <f>SUMIFS(Crime[Violent crime2], Crime[Year],F$27)</f>
        <v>1439480</v>
      </c>
      <c r="G28" s="5">
        <f>SUMIFS(Crime[Violent crime2], Crime[Year],G$27)</f>
        <v>1423677</v>
      </c>
      <c r="H28" s="5">
        <f>SUMIFS(Crime[Violent crime2], Crime[Year],H$27)</f>
        <v>1383676</v>
      </c>
      <c r="I28" s="5">
        <f>SUMIFS(Crime[Violent crime2], Crime[Year],I$27)</f>
        <v>1360088</v>
      </c>
      <c r="J28" s="5">
        <f>SUMIFS(Crime[Violent crime2], Crime[Year],J$27)</f>
        <v>1390745</v>
      </c>
      <c r="K28" s="5">
        <f>SUMIFS(Crime[Violent crime2], Crime[Year],K$27)</f>
        <v>1435123</v>
      </c>
      <c r="L28" s="5">
        <f>SUMIFS(Crime[Violent crime2], Crime[Year],L$27)</f>
        <v>1422970</v>
      </c>
      <c r="M28" s="5">
        <f>SUMIFS(Crime[Violent crime2], Crime[Year],M$27)</f>
        <v>1394461</v>
      </c>
      <c r="N28" s="5">
        <f>SUMIFS(Crime[Violent crime2], Crime[Year],N$27)</f>
        <v>1325896</v>
      </c>
      <c r="O28" s="5">
        <f>SUMIFS(Crime[Violent crime2], Crime[Year],O$27)</f>
        <v>1251248</v>
      </c>
      <c r="P28" s="5">
        <f>SUMIFS(Crime[Violent crime2], Crime[Year],P$27)</f>
        <v>1206005</v>
      </c>
      <c r="Q28" s="5">
        <f>SUMIFS(Crime[Violent crime2], Crime[Year],Q$27)</f>
        <v>1217057</v>
      </c>
      <c r="R28" s="5">
        <f>SUMIFS(Crime[Violent crime2], Crime[Year],R$27)</f>
        <v>1168298</v>
      </c>
      <c r="S28" s="5">
        <f>SUMIFS(Crime[Violent crime2], Crime[Year],S$27)</f>
        <v>1153022</v>
      </c>
      <c r="T28" s="5">
        <f>SUMIFS(Crime[Violent crime2], Crime[Year],T$27)</f>
        <v>1199310</v>
      </c>
      <c r="U28" s="5">
        <f>SUMIFS(Crime[Violent crime2], Crime[Year],U$27)</f>
        <v>1248185</v>
      </c>
    </row>
    <row r="29" spans="1:21" x14ac:dyDescent="0.25">
      <c r="A29" s="6" t="s">
        <v>4</v>
      </c>
      <c r="B29" s="5">
        <f>SUMIFS(Crime[Murder and nonnegligent  manslaughter], Crime[Year],B27)</f>
        <v>18208</v>
      </c>
      <c r="C29" s="5">
        <f>SUMIFS(Crime[Murder and nonnegligent  manslaughter], Crime[Year],C27)</f>
        <v>16974</v>
      </c>
      <c r="D29" s="5">
        <f>SUMIFS(Crime[Murder and nonnegligent  manslaughter], Crime[Year],D27)</f>
        <v>15522</v>
      </c>
      <c r="E29" s="5">
        <f>SUMIFS(Crime[Murder and nonnegligent  manslaughter], Crime[Year],E27)</f>
        <v>15586</v>
      </c>
      <c r="F29" s="5">
        <f>SUMIFS(Crime[Murder and nonnegligent  manslaughter], Crime[Year],F27)</f>
        <v>16037</v>
      </c>
      <c r="G29" s="5">
        <f>SUMIFS(Crime[Murder and nonnegligent  manslaughter], Crime[Year],G27)</f>
        <v>16229</v>
      </c>
      <c r="H29" s="5">
        <f>SUMIFS(Crime[Murder and nonnegligent  manslaughter], Crime[Year],H27)</f>
        <v>16528</v>
      </c>
      <c r="I29" s="5">
        <f>SUMIFS(Crime[Murder and nonnegligent  manslaughter], Crime[Year],I27)</f>
        <v>16148</v>
      </c>
      <c r="J29" s="5">
        <f>SUMIFS(Crime[Murder and nonnegligent  manslaughter], Crime[Year],J27)</f>
        <v>16740</v>
      </c>
      <c r="K29" s="5">
        <f>SUMIFS(Crime[Murder and nonnegligent  manslaughter], Crime[Year],K27)</f>
        <v>17309</v>
      </c>
      <c r="L29" s="5">
        <f>SUMIFS(Crime[Murder and nonnegligent  manslaughter], Crime[Year],L27)</f>
        <v>17128</v>
      </c>
      <c r="M29" s="5">
        <f>SUMIFS(Crime[Murder and nonnegligent  manslaughter], Crime[Year],M27)</f>
        <v>16465</v>
      </c>
      <c r="N29" s="5">
        <f>SUMIFS(Crime[Murder and nonnegligent  manslaughter], Crime[Year],N27)</f>
        <v>15399</v>
      </c>
      <c r="O29" s="5">
        <f>SUMIFS(Crime[Murder and nonnegligent  manslaughter], Crime[Year],O27)</f>
        <v>14722</v>
      </c>
      <c r="P29" s="5">
        <f>SUMIFS(Crime[Murder and nonnegligent  manslaughter], Crime[Year],P27)</f>
        <v>14661</v>
      </c>
      <c r="Q29" s="5">
        <f>SUMIFS(Crime[Murder and nonnegligent  manslaughter], Crime[Year],Q27)</f>
        <v>14856</v>
      </c>
      <c r="R29" s="5">
        <f>SUMIFS(Crime[Murder and nonnegligent  manslaughter], Crime[Year],R27)</f>
        <v>14319</v>
      </c>
      <c r="S29" s="5">
        <f>SUMIFS(Crime[Murder and nonnegligent  manslaughter], Crime[Year],S27)</f>
        <v>14164</v>
      </c>
      <c r="T29" s="5">
        <f>SUMIFS(Crime[Murder and nonnegligent  manslaughter], Crime[Year],T27)</f>
        <v>15883</v>
      </c>
      <c r="U29" s="5">
        <f>SUMIFS(Crime[Murder and nonnegligent  manslaughter], Crime[Year],U27)</f>
        <v>17250</v>
      </c>
    </row>
    <row r="30" spans="1:21" x14ac:dyDescent="0.25">
      <c r="A30" s="6" t="s">
        <v>6</v>
      </c>
      <c r="B30" s="5">
        <f>SUMIFS(Crime[Rape (revised  definition3)], Crime[Year],B$27)</f>
        <v>0</v>
      </c>
      <c r="C30" s="5">
        <f>SUMIFS(Crime[Rape (revised  definition3)], Crime[Year],C$27)</f>
        <v>0</v>
      </c>
      <c r="D30" s="5">
        <f>SUMIFS(Crime[Rape (revised  definition3)], Crime[Year],D$27)</f>
        <v>0</v>
      </c>
      <c r="E30" s="5">
        <f>SUMIFS(Crime[Rape (revised  definition3)], Crime[Year],E$27)</f>
        <v>0</v>
      </c>
      <c r="F30" s="5">
        <f>SUMIFS(Crime[Rape (revised  definition3)], Crime[Year],F$27)</f>
        <v>0</v>
      </c>
      <c r="G30" s="5">
        <f>SUMIFS(Crime[Rape (revised  definition3)], Crime[Year],G$27)</f>
        <v>0</v>
      </c>
      <c r="H30" s="5">
        <f>SUMIFS(Crime[Rape (revised  definition3)], Crime[Year],H$27)</f>
        <v>0</v>
      </c>
      <c r="I30" s="5">
        <f>SUMIFS(Crime[Rape (revised  definition3)], Crime[Year],I$27)</f>
        <v>0</v>
      </c>
      <c r="J30" s="5">
        <f>SUMIFS(Crime[Rape (revised  definition3)], Crime[Year],J$27)</f>
        <v>0</v>
      </c>
      <c r="K30" s="5">
        <f>SUMIFS(Crime[Rape (revised  definition3)], Crime[Year],K$27)</f>
        <v>0</v>
      </c>
      <c r="L30" s="5">
        <f>SUMIFS(Crime[Rape (revised  definition3)], Crime[Year],L$27)</f>
        <v>0</v>
      </c>
      <c r="M30" s="5">
        <f>SUMIFS(Crime[Rape (revised  definition3)], Crime[Year],M$27)</f>
        <v>0</v>
      </c>
      <c r="N30" s="5">
        <f>SUMIFS(Crime[Rape (revised  definition3)], Crime[Year],N$27)</f>
        <v>0</v>
      </c>
      <c r="O30" s="5">
        <f>SUMIFS(Crime[Rape (revised  definition3)], Crime[Year],O$27)</f>
        <v>0</v>
      </c>
      <c r="P30" s="5">
        <f>SUMIFS(Crime[Rape (revised  definition3)], Crime[Year],P$27)</f>
        <v>0</v>
      </c>
      <c r="Q30" s="5">
        <f>SUMIFS(Crime[Rape (revised  definition3)], Crime[Year],Q$27)</f>
        <v>0</v>
      </c>
      <c r="R30" s="5">
        <f>SUMIFS(Crime[Rape (revised  definition3)], Crime[Year],R$27)</f>
        <v>113695</v>
      </c>
      <c r="S30" s="5">
        <f>SUMIFS(Crime[Rape (revised  definition3)], Crime[Year],S$27)</f>
        <v>118027</v>
      </c>
      <c r="T30" s="5">
        <f>SUMIFS(Crime[Rape (revised  definition3)], Crime[Year],T$27)</f>
        <v>126134</v>
      </c>
      <c r="U30" s="5">
        <f>SUMIFS(Crime[Rape (revised  definition3)], Crime[Year],U$27)</f>
        <v>130603</v>
      </c>
    </row>
    <row r="31" spans="1:21" x14ac:dyDescent="0.25">
      <c r="A31" s="6" t="s">
        <v>8</v>
      </c>
      <c r="B31" s="5">
        <f>SUMIFS(Crime[Rape (legacy  definition4)], Crime[Year],B$27)</f>
        <v>96153</v>
      </c>
      <c r="C31" s="5">
        <f>SUMIFS(Crime[Rape (legacy  definition4)], Crime[Year],C$27)</f>
        <v>93144</v>
      </c>
      <c r="D31" s="5">
        <f>SUMIFS(Crime[Rape (legacy  definition4)], Crime[Year],D$27)</f>
        <v>89411</v>
      </c>
      <c r="E31" s="5">
        <f>SUMIFS(Crime[Rape (legacy  definition4)], Crime[Year],E$27)</f>
        <v>90178</v>
      </c>
      <c r="F31" s="5">
        <f>SUMIFS(Crime[Rape (legacy  definition4)], Crime[Year],F$27)</f>
        <v>90863</v>
      </c>
      <c r="G31" s="5">
        <f>SUMIFS(Crime[Rape (legacy  definition4)], Crime[Year],G$27)</f>
        <v>95235</v>
      </c>
      <c r="H31" s="5">
        <f>SUMIFS(Crime[Rape (legacy  definition4)], Crime[Year],H$27)</f>
        <v>93883</v>
      </c>
      <c r="I31" s="5">
        <f>SUMIFS(Crime[Rape (legacy  definition4)], Crime[Year],I$27)</f>
        <v>95089</v>
      </c>
      <c r="J31" s="5">
        <f>SUMIFS(Crime[Rape (legacy  definition4)], Crime[Year],J$27)</f>
        <v>94347</v>
      </c>
      <c r="K31" s="5">
        <f>SUMIFS(Crime[Rape (legacy  definition4)], Crime[Year],K$27)</f>
        <v>94472</v>
      </c>
      <c r="L31" s="5">
        <f>SUMIFS(Crime[Rape (legacy  definition4)], Crime[Year],L$27)</f>
        <v>92160</v>
      </c>
      <c r="M31" s="5">
        <f>SUMIFS(Crime[Rape (legacy  definition4)], Crime[Year],M$27)</f>
        <v>90750</v>
      </c>
      <c r="N31" s="5">
        <f>SUMIFS(Crime[Rape (legacy  definition4)], Crime[Year],N$27)</f>
        <v>89241</v>
      </c>
      <c r="O31" s="5">
        <f>SUMIFS(Crime[Rape (legacy  definition4)], Crime[Year],O$27)</f>
        <v>85593</v>
      </c>
      <c r="P31" s="5">
        <f>SUMIFS(Crime[Rape (legacy  definition4)], Crime[Year],P$27)</f>
        <v>84175</v>
      </c>
      <c r="Q31" s="5">
        <f>SUMIFS(Crime[Rape (legacy  definition4)], Crime[Year],Q$27)</f>
        <v>85141</v>
      </c>
      <c r="R31" s="5">
        <f>SUMIFS(Crime[Rape (legacy  definition4)], Crime[Year],R$27)</f>
        <v>82109</v>
      </c>
      <c r="S31" s="5">
        <f>SUMIFS(Crime[Rape (legacy  definition4)], Crime[Year],S$27)</f>
        <v>84864</v>
      </c>
      <c r="T31" s="5">
        <f>SUMIFS(Crime[Rape (legacy  definition4)], Crime[Year],T$27)</f>
        <v>91261</v>
      </c>
      <c r="U31" s="5">
        <f>SUMIFS(Crime[Rape (legacy  definition4)], Crime[Year],U$27)</f>
        <v>95730</v>
      </c>
    </row>
    <row r="32" spans="1:21" x14ac:dyDescent="0.25">
      <c r="A32" s="6" t="s">
        <v>10</v>
      </c>
      <c r="B32" s="5">
        <f>SUMIFS(Crime[Robbery], Crime[Year],B$27)</f>
        <v>498534</v>
      </c>
      <c r="C32" s="5">
        <f>SUMIFS(Crime[Robbery], Crime[Year],C$27)</f>
        <v>447186</v>
      </c>
      <c r="D32" s="5">
        <f>SUMIFS(Crime[Robbery], Crime[Year],D$27)</f>
        <v>409371</v>
      </c>
      <c r="E32" s="5">
        <f>SUMIFS(Crime[Robbery], Crime[Year],E$27)</f>
        <v>408016</v>
      </c>
      <c r="F32" s="5">
        <f>SUMIFS(Crime[Robbery], Crime[Year],F$27)</f>
        <v>423557</v>
      </c>
      <c r="G32" s="5">
        <f>SUMIFS(Crime[Robbery], Crime[Year],G$27)</f>
        <v>420806</v>
      </c>
      <c r="H32" s="5">
        <f>SUMIFS(Crime[Robbery], Crime[Year],H$27)</f>
        <v>414235</v>
      </c>
      <c r="I32" s="5">
        <f>SUMIFS(Crime[Robbery], Crime[Year],I$27)</f>
        <v>401470</v>
      </c>
      <c r="J32" s="5">
        <f>SUMIFS(Crime[Robbery], Crime[Year],J$27)</f>
        <v>417438</v>
      </c>
      <c r="K32" s="5">
        <f>SUMIFS(Crime[Robbery], Crime[Year],K$27)</f>
        <v>449246</v>
      </c>
      <c r="L32" s="5">
        <f>SUMIFS(Crime[Robbery], Crime[Year],L$27)</f>
        <v>447324</v>
      </c>
      <c r="M32" s="5">
        <f>SUMIFS(Crime[Robbery], Crime[Year],M$27)</f>
        <v>443563</v>
      </c>
      <c r="N32" s="5">
        <f>SUMIFS(Crime[Robbery], Crime[Year],N$27)</f>
        <v>408742</v>
      </c>
      <c r="O32" s="5">
        <f>SUMIFS(Crime[Robbery], Crime[Year],O$27)</f>
        <v>369089</v>
      </c>
      <c r="P32" s="5">
        <f>SUMIFS(Crime[Robbery], Crime[Year],P$27)</f>
        <v>354746</v>
      </c>
      <c r="Q32" s="5">
        <f>SUMIFS(Crime[Robbery], Crime[Year],Q$27)</f>
        <v>355051</v>
      </c>
      <c r="R32" s="5">
        <f>SUMIFS(Crime[Robbery], Crime[Year],R$27)</f>
        <v>345093</v>
      </c>
      <c r="S32" s="5">
        <f>SUMIFS(Crime[Robbery], Crime[Year],S$27)</f>
        <v>322905</v>
      </c>
      <c r="T32" s="5">
        <f>SUMIFS(Crime[Robbery], Crime[Year],T$27)</f>
        <v>328109</v>
      </c>
      <c r="U32" s="5">
        <f>SUMIFS(Crime[Robbery], Crime[Year],U$27)</f>
        <v>332198</v>
      </c>
    </row>
    <row r="33" spans="1:21" x14ac:dyDescent="0.25">
      <c r="A33" s="6" t="s">
        <v>12</v>
      </c>
      <c r="B33" s="5">
        <f>SUMIFS(Crime[Aggravated  assault], Crime[Year],B$27)</f>
        <v>1023201</v>
      </c>
      <c r="C33" s="5">
        <f>SUMIFS(Crime[Aggravated  assault], Crime[Year],C$27)</f>
        <v>976583</v>
      </c>
      <c r="D33" s="5">
        <f>SUMIFS(Crime[Aggravated  assault], Crime[Year],D$27)</f>
        <v>911740</v>
      </c>
      <c r="E33" s="5">
        <f>SUMIFS(Crime[Aggravated  assault], Crime[Year],E$27)</f>
        <v>911706</v>
      </c>
      <c r="F33" s="5">
        <f>SUMIFS(Crime[Aggravated  assault], Crime[Year],F$27)</f>
        <v>909023</v>
      </c>
      <c r="G33" s="5">
        <f>SUMIFS(Crime[Aggravated  assault], Crime[Year],G$27)</f>
        <v>891407</v>
      </c>
      <c r="H33" s="5">
        <f>SUMIFS(Crime[Aggravated  assault], Crime[Year],H$27)</f>
        <v>859030</v>
      </c>
      <c r="I33" s="5">
        <f>SUMIFS(Crime[Aggravated  assault], Crime[Year],I$27)</f>
        <v>847381</v>
      </c>
      <c r="J33" s="5">
        <f>SUMIFS(Crime[Aggravated  assault], Crime[Year],J$27)</f>
        <v>862220</v>
      </c>
      <c r="K33" s="5">
        <f>SUMIFS(Crime[Aggravated  assault], Crime[Year],K$27)</f>
        <v>874096</v>
      </c>
      <c r="L33" s="5">
        <f>SUMIFS(Crime[Aggravated  assault], Crime[Year],L$27)</f>
        <v>866358</v>
      </c>
      <c r="M33" s="5">
        <f>SUMIFS(Crime[Aggravated  assault], Crime[Year],M$27)</f>
        <v>843683</v>
      </c>
      <c r="N33" s="5">
        <f>SUMIFS(Crime[Aggravated  assault], Crime[Year],N$27)</f>
        <v>812514</v>
      </c>
      <c r="O33" s="5">
        <f>SUMIFS(Crime[Aggravated  assault], Crime[Year],O$27)</f>
        <v>781844</v>
      </c>
      <c r="P33" s="5">
        <f>SUMIFS(Crime[Aggravated  assault], Crime[Year],P$27)</f>
        <v>752423</v>
      </c>
      <c r="Q33" s="5">
        <f>SUMIFS(Crime[Aggravated  assault], Crime[Year],Q$27)</f>
        <v>762009</v>
      </c>
      <c r="R33" s="5">
        <f>SUMIFS(Crime[Aggravated  assault], Crime[Year],R$27)</f>
        <v>726777</v>
      </c>
      <c r="S33" s="5">
        <f>SUMIFS(Crime[Aggravated  assault], Crime[Year],S$27)</f>
        <v>731089</v>
      </c>
      <c r="T33" s="5">
        <f>SUMIFS(Crime[Aggravated  assault], Crime[Year],T$27)</f>
        <v>764057</v>
      </c>
      <c r="U33" s="5">
        <f>SUMIFS(Crime[Aggravated  assault], Crime[Year],U$27)</f>
        <v>803007</v>
      </c>
    </row>
    <row r="34" spans="1:21" x14ac:dyDescent="0.25">
      <c r="A34" s="6" t="s">
        <v>14</v>
      </c>
      <c r="B34" s="5">
        <f>SUMIFS(Crime[Property  crime], Crime[Year],B$27)</f>
        <v>11558475</v>
      </c>
      <c r="C34" s="5">
        <f>SUMIFS(Crime[Property  crime], Crime[Year],C$27)</f>
        <v>10951827</v>
      </c>
      <c r="D34" s="5">
        <f>SUMIFS(Crime[Property  crime], Crime[Year],D$27)</f>
        <v>10208334</v>
      </c>
      <c r="E34" s="5">
        <f>SUMIFS(Crime[Property  crime], Crime[Year],E$27)</f>
        <v>10182584</v>
      </c>
      <c r="F34" s="5">
        <f>SUMIFS(Crime[Property  crime], Crime[Year],F$27)</f>
        <v>10437189</v>
      </c>
      <c r="G34" s="5">
        <f>SUMIFS(Crime[Property  crime], Crime[Year],G$27)</f>
        <v>10455277</v>
      </c>
      <c r="H34" s="5">
        <f>SUMIFS(Crime[Property  crime], Crime[Year],H$27)</f>
        <v>10442862</v>
      </c>
      <c r="I34" s="5">
        <f>SUMIFS(Crime[Property  crime], Crime[Year],I$27)</f>
        <v>10319386</v>
      </c>
      <c r="J34" s="5">
        <f>SUMIFS(Crime[Property  crime], Crime[Year],J$27)</f>
        <v>10174754</v>
      </c>
      <c r="K34" s="5">
        <f>SUMIFS(Crime[Property  crime], Crime[Year],K$27)</f>
        <v>10019601</v>
      </c>
      <c r="L34" s="5">
        <f>SUMIFS(Crime[Property  crime], Crime[Year],L$27)</f>
        <v>9882212</v>
      </c>
      <c r="M34" s="5">
        <f>SUMIFS(Crime[Property  crime], Crime[Year],M$27)</f>
        <v>9774152</v>
      </c>
      <c r="N34" s="5">
        <f>SUMIFS(Crime[Property  crime], Crime[Year],N$27)</f>
        <v>9337060</v>
      </c>
      <c r="O34" s="5">
        <f>SUMIFS(Crime[Property  crime], Crime[Year],O$27)</f>
        <v>9112625</v>
      </c>
      <c r="P34" s="5">
        <f>SUMIFS(Crime[Property  crime], Crime[Year],P$27)</f>
        <v>9052743</v>
      </c>
      <c r="Q34" s="5">
        <f>SUMIFS(Crime[Property  crime], Crime[Year],Q$27)</f>
        <v>9001992</v>
      </c>
      <c r="R34" s="5">
        <f>SUMIFS(Crime[Property  crime], Crime[Year],R$27)</f>
        <v>8651892</v>
      </c>
      <c r="S34" s="5">
        <f>SUMIFS(Crime[Property  crime], Crime[Year],S$27)</f>
        <v>8209010</v>
      </c>
      <c r="T34" s="5">
        <f>SUMIFS(Crime[Property  crime], Crime[Year],T$27)</f>
        <v>8024115</v>
      </c>
      <c r="U34" s="5">
        <f>SUMIFS(Crime[Property  crime], Crime[Year],U$27)</f>
        <v>7919035</v>
      </c>
    </row>
    <row r="35" spans="1:21" x14ac:dyDescent="0.25">
      <c r="A35" s="6" t="s">
        <v>16</v>
      </c>
      <c r="B35" s="5">
        <f>SUMIFS(Crime[Burglary], Crime[Year],B$27)</f>
        <v>2460526</v>
      </c>
      <c r="C35" s="5">
        <f>SUMIFS(Crime[Burglary], Crime[Year],C$27)</f>
        <v>2332735</v>
      </c>
      <c r="D35" s="5">
        <f>SUMIFS(Crime[Burglary], Crime[Year],D$27)</f>
        <v>2100739</v>
      </c>
      <c r="E35" s="5">
        <f>SUMIFS(Crime[Burglary], Crime[Year],E$27)</f>
        <v>2050992</v>
      </c>
      <c r="F35" s="5">
        <f>SUMIFS(Crime[Burglary], Crime[Year],F$27)</f>
        <v>2116531</v>
      </c>
      <c r="G35" s="5">
        <f>SUMIFS(Crime[Burglary], Crime[Year],G$27)</f>
        <v>2151252</v>
      </c>
      <c r="H35" s="5">
        <f>SUMIFS(Crime[Burglary], Crime[Year],H$27)</f>
        <v>2154834</v>
      </c>
      <c r="I35" s="5">
        <f>SUMIFS(Crime[Burglary], Crime[Year],I$27)</f>
        <v>2144446</v>
      </c>
      <c r="J35" s="5">
        <f>SUMIFS(Crime[Burglary], Crime[Year],J$27)</f>
        <v>2155448</v>
      </c>
      <c r="K35" s="5">
        <f>SUMIFS(Crime[Burglary], Crime[Year],K$27)</f>
        <v>2194993</v>
      </c>
      <c r="L35" s="5">
        <f>SUMIFS(Crime[Burglary], Crime[Year],L$27)</f>
        <v>2190198</v>
      </c>
      <c r="M35" s="5">
        <f>SUMIFS(Crime[Burglary], Crime[Year],M$27)</f>
        <v>2228887</v>
      </c>
      <c r="N35" s="5">
        <f>SUMIFS(Crime[Burglary], Crime[Year],N$27)</f>
        <v>2203313</v>
      </c>
      <c r="O35" s="5">
        <f>SUMIFS(Crime[Burglary], Crime[Year],O$27)</f>
        <v>2168459</v>
      </c>
      <c r="P35" s="5">
        <f>SUMIFS(Crime[Burglary], Crime[Year],P$27)</f>
        <v>2185140</v>
      </c>
      <c r="Q35" s="5">
        <f>SUMIFS(Crime[Burglary], Crime[Year],Q$27)</f>
        <v>2109932</v>
      </c>
      <c r="R35" s="5">
        <f>SUMIFS(Crime[Burglary], Crime[Year],R$27)</f>
        <v>1932139</v>
      </c>
      <c r="S35" s="5">
        <f>SUMIFS(Crime[Burglary], Crime[Year],S$27)</f>
        <v>1713153</v>
      </c>
      <c r="T35" s="5">
        <f>SUMIFS(Crime[Burglary], Crime[Year],T$27)</f>
        <v>1587564</v>
      </c>
      <c r="U35" s="5">
        <f>SUMIFS(Crime[Burglary], Crime[Year],U$27)</f>
        <v>1515096</v>
      </c>
    </row>
    <row r="36" spans="1:21" x14ac:dyDescent="0.25">
      <c r="A36" s="6" t="s">
        <v>18</v>
      </c>
      <c r="B36" s="5">
        <f>SUMIFS(Crime[Larceny- theft], Crime[Year],B$27)</f>
        <v>7743760</v>
      </c>
      <c r="C36" s="5">
        <f>SUMIFS(Crime[Larceny- theft], Crime[Year],C$27)</f>
        <v>7376311</v>
      </c>
      <c r="D36" s="5">
        <f>SUMIFS(Crime[Larceny- theft], Crime[Year],D$27)</f>
        <v>6955520</v>
      </c>
      <c r="E36" s="5">
        <f>SUMIFS(Crime[Larceny- theft], Crime[Year],E$27)</f>
        <v>6971590</v>
      </c>
      <c r="F36" s="5">
        <f>SUMIFS(Crime[Larceny- theft], Crime[Year],F$27)</f>
        <v>7092267</v>
      </c>
      <c r="G36" s="5">
        <f>SUMIFS(Crime[Larceny- theft], Crime[Year],G$27)</f>
        <v>7057379</v>
      </c>
      <c r="H36" s="5">
        <f>SUMIFS(Crime[Larceny- theft], Crime[Year],H$27)</f>
        <v>7026802</v>
      </c>
      <c r="I36" s="5">
        <f>SUMIFS(Crime[Larceny- theft], Crime[Year],I$27)</f>
        <v>6937089</v>
      </c>
      <c r="J36" s="5">
        <f>SUMIFS(Crime[Larceny- theft], Crime[Year],J$27)</f>
        <v>6783447</v>
      </c>
      <c r="K36" s="5">
        <f>SUMIFS(Crime[Larceny- theft], Crime[Year],K$27)</f>
        <v>6626363</v>
      </c>
      <c r="L36" s="5">
        <f>SUMIFS(Crime[Larceny- theft], Crime[Year],L$27)</f>
        <v>6591542</v>
      </c>
      <c r="M36" s="11">
        <f>SUMIFS(Crime[Larceny- theft], Crime[Year],M$27)</f>
        <v>6586206</v>
      </c>
      <c r="N36" s="5">
        <f>SUMIFS(Crime[Larceny- theft], Crime[Year],N$27)</f>
        <v>6338095</v>
      </c>
      <c r="O36" s="11">
        <f>SUMIFS(Crime[Larceny- theft], Crime[Year],O$27)</f>
        <v>6204601</v>
      </c>
      <c r="P36" s="5">
        <f>SUMIFS(Crime[Larceny- theft], Crime[Year],P$27)</f>
        <v>6151095</v>
      </c>
      <c r="Q36" s="5">
        <f>SUMIFS(Crime[Larceny- theft], Crime[Year],Q$27)</f>
        <v>6168874</v>
      </c>
      <c r="R36" s="5">
        <f>SUMIFS(Crime[Larceny- theft], Crime[Year],R$27)</f>
        <v>6019465</v>
      </c>
      <c r="S36" s="5">
        <f>SUMIFS(Crime[Larceny- theft], Crime[Year],S$27)</f>
        <v>5809054</v>
      </c>
      <c r="T36" s="5">
        <f>SUMIFS(Crime[Larceny- theft], Crime[Year],T$27)</f>
        <v>5723488</v>
      </c>
      <c r="U36" s="5">
        <f>SUMIFS(Crime[Larceny- theft], Crime[Year],U$27)</f>
        <v>5638455</v>
      </c>
    </row>
    <row r="37" spans="1:21" x14ac:dyDescent="0.25">
      <c r="A37" s="6" t="s">
        <v>20</v>
      </c>
      <c r="B37" s="5">
        <f>SUMIFS(Crime[Motor  vehicle  theft], Crime[Year],B$27)</f>
        <v>1354189</v>
      </c>
      <c r="C37" s="5">
        <f>SUMIFS(Crime[Motor  vehicle  theft], Crime[Year],C$27)</f>
        <v>1242781</v>
      </c>
      <c r="D37" s="5">
        <f>SUMIFS(Crime[Motor  vehicle  theft], Crime[Year],D$27)</f>
        <v>1152075</v>
      </c>
      <c r="E37" s="5">
        <f>SUMIFS(Crime[Motor  vehicle  theft], Crime[Year],E$27)</f>
        <v>1160002</v>
      </c>
      <c r="F37" s="5">
        <f>SUMIFS(Crime[Motor  vehicle  theft], Crime[Year],F$27)</f>
        <v>1228391</v>
      </c>
      <c r="G37" s="5">
        <f>SUMIFS(Crime[Motor  vehicle  theft], Crime[Year],G$27)</f>
        <v>1246646</v>
      </c>
      <c r="H37" s="5">
        <f>SUMIFS(Crime[Motor  vehicle  theft], Crime[Year],H$27)</f>
        <v>1261226</v>
      </c>
      <c r="I37" s="5">
        <f>SUMIFS(Crime[Motor  vehicle  theft], Crime[Year],I$27)</f>
        <v>1237851</v>
      </c>
      <c r="J37" s="5">
        <f>SUMIFS(Crime[Motor  vehicle  theft], Crime[Year],J$27)</f>
        <v>1235859</v>
      </c>
      <c r="K37" s="5">
        <f>SUMIFS(Crime[Motor  vehicle  theft], Crime[Year],K$27)</f>
        <v>1198245</v>
      </c>
      <c r="L37" s="5">
        <f>SUMIFS(Crime[Motor  vehicle  theft], Crime[Year],L$27)</f>
        <v>1100472</v>
      </c>
      <c r="M37" s="5">
        <f>SUMIFS(Crime[Motor  vehicle  theft], Crime[Year],M$27)</f>
        <v>959059</v>
      </c>
      <c r="N37" s="5">
        <f>SUMIFS(Crime[Motor  vehicle  theft], Crime[Year],N$27)</f>
        <v>795652</v>
      </c>
      <c r="O37" s="5">
        <f>SUMIFS(Crime[Motor  vehicle  theft], Crime[Year],O$27)</f>
        <v>739565</v>
      </c>
      <c r="P37" s="5">
        <f>SUMIFS(Crime[Motor  vehicle  theft], Crime[Year],P$27)</f>
        <v>716508</v>
      </c>
      <c r="Q37" s="5">
        <f>SUMIFS(Crime[Motor  vehicle  theft], Crime[Year],Q$27)</f>
        <v>723186</v>
      </c>
      <c r="R37" s="5">
        <f>SUMIFS(Crime[Motor  vehicle  theft], Crime[Year],R$27)</f>
        <v>700288</v>
      </c>
      <c r="S37" s="5">
        <f>SUMIFS(Crime[Motor  vehicle  theft], Crime[Year],S$27)</f>
        <v>686803</v>
      </c>
      <c r="T37" s="5">
        <f>SUMIFS(Crime[Motor  vehicle  theft], Crime[Year],T$27)</f>
        <v>713063</v>
      </c>
      <c r="U37" s="5">
        <f>SUMIFS(Crime[Motor  vehicle  theft], Crime[Year],U$27)</f>
        <v>765484</v>
      </c>
    </row>
    <row r="40" spans="1:21" x14ac:dyDescent="0.25">
      <c r="B40" s="10">
        <v>1998</v>
      </c>
      <c r="C40" s="10">
        <v>1999</v>
      </c>
      <c r="D40" s="10">
        <v>2000</v>
      </c>
      <c r="E40" s="10">
        <v>2001</v>
      </c>
      <c r="F40" s="10">
        <v>2002</v>
      </c>
      <c r="G40" s="10">
        <v>2003</v>
      </c>
      <c r="H40" s="10">
        <v>2004</v>
      </c>
      <c r="I40" s="10">
        <v>2005</v>
      </c>
      <c r="J40" s="10">
        <v>2006</v>
      </c>
      <c r="K40" s="10">
        <v>2007</v>
      </c>
      <c r="L40" s="10">
        <v>2008</v>
      </c>
      <c r="M40" s="10">
        <v>2009</v>
      </c>
      <c r="N40" s="10">
        <v>2010</v>
      </c>
      <c r="O40" s="10">
        <v>2011</v>
      </c>
      <c r="P40" s="10">
        <v>2012</v>
      </c>
      <c r="Q40" s="10">
        <v>2013</v>
      </c>
      <c r="R40" s="10">
        <v>2014</v>
      </c>
      <c r="S40" s="10">
        <v>2015</v>
      </c>
      <c r="T40" s="10">
        <v>2016</v>
      </c>
    </row>
    <row r="41" spans="1:21" x14ac:dyDescent="0.25">
      <c r="A41" s="6" t="s">
        <v>24</v>
      </c>
      <c r="B41" s="8">
        <f>IF(B28&lt;&gt;0,(C28-B28)/(B28),0)</f>
        <v>-6.2471273079330307E-2</v>
      </c>
      <c r="C41" s="8">
        <f t="shared" ref="C41:T42" si="0">IF(C28&lt;&gt;0,(D28-C28)/(C28),0)</f>
        <v>-7.0307004362120548E-2</v>
      </c>
      <c r="D41" s="8">
        <f t="shared" si="0"/>
        <v>-3.9129227429167684E-4</v>
      </c>
      <c r="E41" s="8">
        <f t="shared" si="0"/>
        <v>9.8170027625665915E-3</v>
      </c>
      <c r="F41" s="8">
        <f t="shared" si="0"/>
        <v>-1.0978269930808348E-2</v>
      </c>
      <c r="G41" s="8">
        <f t="shared" si="0"/>
        <v>-2.8096963004951264E-2</v>
      </c>
      <c r="H41" s="8">
        <f t="shared" si="0"/>
        <v>-1.7047343453236163E-2</v>
      </c>
      <c r="I41" s="8">
        <f t="shared" si="0"/>
        <v>2.2540453264788748E-2</v>
      </c>
      <c r="J41" s="8">
        <f t="shared" si="0"/>
        <v>3.1909516122653685E-2</v>
      </c>
      <c r="K41" s="8">
        <f t="shared" si="0"/>
        <v>-8.4682636958643958E-3</v>
      </c>
      <c r="L41" s="8">
        <f t="shared" si="0"/>
        <v>-2.0034856673014891E-2</v>
      </c>
      <c r="M41" s="8">
        <f t="shared" si="0"/>
        <v>-4.9169535756109349E-2</v>
      </c>
      <c r="N41" s="8">
        <f t="shared" si="0"/>
        <v>-5.6300041632224546E-2</v>
      </c>
      <c r="O41" s="8">
        <f t="shared" si="0"/>
        <v>-3.6158299553725563E-2</v>
      </c>
      <c r="P41" s="8">
        <f t="shared" si="0"/>
        <v>9.1641411105260751E-3</v>
      </c>
      <c r="Q41" s="8">
        <f t="shared" si="0"/>
        <v>-4.0063037310495729E-2</v>
      </c>
      <c r="R41" s="8">
        <f t="shared" si="0"/>
        <v>-1.307543109720294E-2</v>
      </c>
      <c r="S41" s="8">
        <f t="shared" si="0"/>
        <v>4.0144940859758095E-2</v>
      </c>
      <c r="T41" s="8">
        <f t="shared" si="0"/>
        <v>4.075259941132818E-2</v>
      </c>
    </row>
    <row r="42" spans="1:21" x14ac:dyDescent="0.25">
      <c r="A42" s="6" t="s">
        <v>31</v>
      </c>
      <c r="B42" s="8">
        <f t="shared" ref="B42:Q50" si="1">IF(B29&lt;&gt;0,(C29-B29)/(B29),0)</f>
        <v>-6.7772407732864678E-2</v>
      </c>
      <c r="C42" s="8">
        <f t="shared" si="1"/>
        <v>-8.5542594556380344E-2</v>
      </c>
      <c r="D42" s="8">
        <f t="shared" si="1"/>
        <v>4.1231800025769878E-3</v>
      </c>
      <c r="E42" s="8">
        <f t="shared" si="1"/>
        <v>2.8936224817143589E-2</v>
      </c>
      <c r="F42" s="8">
        <f t="shared" si="1"/>
        <v>1.1972314023819916E-2</v>
      </c>
      <c r="G42" s="8">
        <f t="shared" si="1"/>
        <v>1.8423809230390043E-2</v>
      </c>
      <c r="H42" s="8">
        <f t="shared" si="1"/>
        <v>-2.2991287512100677E-2</v>
      </c>
      <c r="I42" s="8">
        <f t="shared" si="1"/>
        <v>3.6660886797126577E-2</v>
      </c>
      <c r="J42" s="8">
        <f t="shared" si="1"/>
        <v>3.3990442054958186E-2</v>
      </c>
      <c r="K42" s="8">
        <f t="shared" si="1"/>
        <v>-1.0456987694263099E-2</v>
      </c>
      <c r="L42" s="8">
        <f t="shared" si="1"/>
        <v>-3.8708547407753389E-2</v>
      </c>
      <c r="M42" s="8">
        <f t="shared" si="1"/>
        <v>-6.4743395080473734E-2</v>
      </c>
      <c r="N42" s="8">
        <f t="shared" si="1"/>
        <v>-4.3963893759335022E-2</v>
      </c>
      <c r="O42" s="8">
        <f t="shared" si="1"/>
        <v>-4.1434587691889686E-3</v>
      </c>
      <c r="P42" s="8">
        <f t="shared" si="1"/>
        <v>1.3300593411090649E-2</v>
      </c>
      <c r="Q42" s="8">
        <f t="shared" si="1"/>
        <v>-3.6147011308562196E-2</v>
      </c>
      <c r="R42" s="8">
        <f t="shared" si="0"/>
        <v>-1.0824778266638732E-2</v>
      </c>
      <c r="S42" s="8">
        <f t="shared" si="0"/>
        <v>0.1213640214628636</v>
      </c>
      <c r="T42" s="8">
        <f t="shared" si="0"/>
        <v>8.6066863942580119E-2</v>
      </c>
    </row>
    <row r="43" spans="1:21" x14ac:dyDescent="0.25">
      <c r="A43" s="6" t="s">
        <v>127</v>
      </c>
      <c r="B43" s="8">
        <f t="shared" si="1"/>
        <v>0</v>
      </c>
      <c r="C43" s="8">
        <f t="shared" ref="C43:D43" si="2">IF(C30&lt;&gt;0,(D30-C30)/(C30),0)</f>
        <v>0</v>
      </c>
      <c r="D43" s="8">
        <f t="shared" si="2"/>
        <v>0</v>
      </c>
      <c r="E43" s="8">
        <f t="shared" ref="E43:T43" si="3">IF(E30&lt;&gt;0,(F30-E30)/(E30),0)</f>
        <v>0</v>
      </c>
      <c r="F43" s="8">
        <f t="shared" si="3"/>
        <v>0</v>
      </c>
      <c r="G43" s="8">
        <f t="shared" si="3"/>
        <v>0</v>
      </c>
      <c r="H43" s="8">
        <f t="shared" si="3"/>
        <v>0</v>
      </c>
      <c r="I43" s="8">
        <f t="shared" si="3"/>
        <v>0</v>
      </c>
      <c r="J43" s="8">
        <f t="shared" si="3"/>
        <v>0</v>
      </c>
      <c r="K43" s="8">
        <f t="shared" si="3"/>
        <v>0</v>
      </c>
      <c r="L43" s="8">
        <f t="shared" si="3"/>
        <v>0</v>
      </c>
      <c r="M43" s="8">
        <f t="shared" si="3"/>
        <v>0</v>
      </c>
      <c r="N43" s="8">
        <f t="shared" si="3"/>
        <v>0</v>
      </c>
      <c r="O43" s="8">
        <f t="shared" si="3"/>
        <v>0</v>
      </c>
      <c r="P43" s="8">
        <f t="shared" si="3"/>
        <v>0</v>
      </c>
      <c r="Q43" s="8">
        <f t="shared" si="3"/>
        <v>0</v>
      </c>
      <c r="R43" s="8">
        <f t="shared" si="3"/>
        <v>3.810193939926998E-2</v>
      </c>
      <c r="S43" s="8">
        <f t="shared" si="3"/>
        <v>6.8687673159531296E-2</v>
      </c>
      <c r="T43" s="8">
        <f t="shared" si="3"/>
        <v>3.5430573834176353E-2</v>
      </c>
    </row>
    <row r="44" spans="1:21" x14ac:dyDescent="0.25">
      <c r="A44" s="6" t="s">
        <v>128</v>
      </c>
      <c r="B44" s="8">
        <f t="shared" si="1"/>
        <v>-3.1293875386103398E-2</v>
      </c>
      <c r="C44" s="8">
        <f t="shared" ref="C44:D44" si="4">IF(C31&lt;&gt;0,(D31-C31)/(C31),0)</f>
        <v>-4.007772910761831E-2</v>
      </c>
      <c r="D44" s="8">
        <f t="shared" si="4"/>
        <v>8.5783628412611432E-3</v>
      </c>
      <c r="E44" s="8">
        <f t="shared" ref="E44:T44" si="5">IF(E31&lt;&gt;0,(F31-E31)/(E31),0)</f>
        <v>7.5960877375856641E-3</v>
      </c>
      <c r="F44" s="8">
        <f t="shared" si="5"/>
        <v>4.8116395012271218E-2</v>
      </c>
      <c r="G44" s="8">
        <f t="shared" si="5"/>
        <v>-1.4196461384995012E-2</v>
      </c>
      <c r="H44" s="8">
        <f t="shared" si="5"/>
        <v>1.2845776125603144E-2</v>
      </c>
      <c r="I44" s="8">
        <f t="shared" si="5"/>
        <v>-7.8032159345455309E-3</v>
      </c>
      <c r="J44" s="8">
        <f t="shared" si="5"/>
        <v>1.3248963931020595E-3</v>
      </c>
      <c r="K44" s="8">
        <f t="shared" si="5"/>
        <v>-2.4472859683292405E-2</v>
      </c>
      <c r="L44" s="8">
        <f t="shared" si="5"/>
        <v>-1.5299479166666666E-2</v>
      </c>
      <c r="M44" s="8">
        <f t="shared" si="5"/>
        <v>-1.662809917355372E-2</v>
      </c>
      <c r="N44" s="8">
        <f t="shared" si="5"/>
        <v>-4.0878071738326555E-2</v>
      </c>
      <c r="O44" s="8">
        <f t="shared" si="5"/>
        <v>-1.6566775320411717E-2</v>
      </c>
      <c r="P44" s="8">
        <f t="shared" si="5"/>
        <v>1.1476091476091476E-2</v>
      </c>
      <c r="Q44" s="8">
        <f t="shared" si="5"/>
        <v>-3.5611515016267137E-2</v>
      </c>
      <c r="R44" s="8">
        <f t="shared" si="5"/>
        <v>3.3552960089636943E-2</v>
      </c>
      <c r="S44" s="8">
        <f t="shared" si="5"/>
        <v>7.5379430618401203E-2</v>
      </c>
      <c r="T44" s="8">
        <f t="shared" si="5"/>
        <v>4.896943930046789E-2</v>
      </c>
    </row>
    <row r="45" spans="1:21" x14ac:dyDescent="0.25">
      <c r="A45" s="6" t="s">
        <v>25</v>
      </c>
      <c r="B45" s="8">
        <f t="shared" si="1"/>
        <v>-0.1029979901069937</v>
      </c>
      <c r="C45" s="8">
        <f t="shared" ref="C45:D45" si="6">IF(C32&lt;&gt;0,(D32-C32)/(C32),0)</f>
        <v>-8.4562128510284315E-2</v>
      </c>
      <c r="D45" s="8">
        <f t="shared" si="6"/>
        <v>-3.309956005677002E-3</v>
      </c>
      <c r="E45" s="8">
        <f t="shared" ref="E45:T45" si="7">IF(E32&lt;&gt;0,(F32-E32)/(E32),0)</f>
        <v>3.8089192580683114E-2</v>
      </c>
      <c r="F45" s="8">
        <f t="shared" si="7"/>
        <v>-6.4949935900008738E-3</v>
      </c>
      <c r="G45" s="8">
        <f t="shared" si="7"/>
        <v>-1.5615271645366273E-2</v>
      </c>
      <c r="H45" s="8">
        <f t="shared" si="7"/>
        <v>-3.081584124953227E-2</v>
      </c>
      <c r="I45" s="8">
        <f t="shared" si="7"/>
        <v>3.9773831170448602E-2</v>
      </c>
      <c r="J45" s="8">
        <f t="shared" si="7"/>
        <v>7.6198141999530469E-2</v>
      </c>
      <c r="K45" s="8">
        <f t="shared" si="7"/>
        <v>-4.2782796062736227E-3</v>
      </c>
      <c r="L45" s="8">
        <f t="shared" si="7"/>
        <v>-8.4077760191717862E-3</v>
      </c>
      <c r="M45" s="8">
        <f t="shared" si="7"/>
        <v>-7.8502940957654269E-2</v>
      </c>
      <c r="N45" s="8">
        <f t="shared" si="7"/>
        <v>-9.7012296265125683E-2</v>
      </c>
      <c r="O45" s="8">
        <f t="shared" si="7"/>
        <v>-3.8860545830409467E-2</v>
      </c>
      <c r="P45" s="8">
        <f t="shared" si="7"/>
        <v>8.5977008902144065E-4</v>
      </c>
      <c r="Q45" s="8">
        <f t="shared" si="7"/>
        <v>-2.8046674984720504E-2</v>
      </c>
      <c r="R45" s="8">
        <f t="shared" si="7"/>
        <v>-6.4295711590788576E-2</v>
      </c>
      <c r="S45" s="8">
        <f t="shared" si="7"/>
        <v>1.6116195165760829E-2</v>
      </c>
      <c r="T45" s="8">
        <f t="shared" si="7"/>
        <v>1.2462321972271409E-2</v>
      </c>
    </row>
    <row r="46" spans="1:21" x14ac:dyDescent="0.25">
      <c r="A46" s="6" t="s">
        <v>26</v>
      </c>
      <c r="B46" s="8">
        <f t="shared" si="1"/>
        <v>-4.5560940616750763E-2</v>
      </c>
      <c r="C46" s="8">
        <f t="shared" ref="C46:D46" si="8">IF(C33&lt;&gt;0,(D33-C33)/(C33),0)</f>
        <v>-6.6397838176581001E-2</v>
      </c>
      <c r="D46" s="8">
        <f t="shared" si="8"/>
        <v>-3.7291333055476345E-5</v>
      </c>
      <c r="E46" s="8">
        <f t="shared" ref="E46:T46" si="9">IF(E33&lt;&gt;0,(F33-E33)/(E33),0)</f>
        <v>-2.9428346418691989E-3</v>
      </c>
      <c r="F46" s="8">
        <f t="shared" si="9"/>
        <v>-1.9379047614856829E-2</v>
      </c>
      <c r="G46" s="8">
        <f t="shared" si="9"/>
        <v>-3.6321231491338972E-2</v>
      </c>
      <c r="H46" s="8">
        <f t="shared" si="9"/>
        <v>-1.3560643982165931E-2</v>
      </c>
      <c r="I46" s="8">
        <f t="shared" si="9"/>
        <v>1.7511603399179353E-2</v>
      </c>
      <c r="J46" s="8">
        <f t="shared" si="9"/>
        <v>1.3773746839553709E-2</v>
      </c>
      <c r="K46" s="8">
        <f t="shared" si="9"/>
        <v>-8.8525745455876707E-3</v>
      </c>
      <c r="L46" s="8">
        <f t="shared" si="9"/>
        <v>-2.617278307581854E-2</v>
      </c>
      <c r="M46" s="8">
        <f t="shared" si="9"/>
        <v>-3.6943970661966641E-2</v>
      </c>
      <c r="N46" s="8">
        <f t="shared" si="9"/>
        <v>-3.7747041897124231E-2</v>
      </c>
      <c r="O46" s="8">
        <f t="shared" si="9"/>
        <v>-3.7630268953908967E-2</v>
      </c>
      <c r="P46" s="8">
        <f t="shared" si="9"/>
        <v>1.2740174077613258E-2</v>
      </c>
      <c r="Q46" s="8">
        <f t="shared" si="9"/>
        <v>-4.6235674381798639E-2</v>
      </c>
      <c r="R46" s="8">
        <f t="shared" si="9"/>
        <v>5.9330441111922917E-3</v>
      </c>
      <c r="S46" s="8">
        <f t="shared" si="9"/>
        <v>4.5094372914925546E-2</v>
      </c>
      <c r="T46" s="8">
        <f t="shared" si="9"/>
        <v>5.097787206975396E-2</v>
      </c>
    </row>
    <row r="47" spans="1:21" x14ac:dyDescent="0.25">
      <c r="A47" s="6" t="s">
        <v>27</v>
      </c>
      <c r="B47" s="8">
        <f t="shared" si="1"/>
        <v>-5.2485124551465485E-2</v>
      </c>
      <c r="C47" s="8">
        <f t="shared" ref="C47:D47" si="10">IF(C34&lt;&gt;0,(D34-C34)/(C34),0)</f>
        <v>-6.7887577113845937E-2</v>
      </c>
      <c r="D47" s="8">
        <f t="shared" si="10"/>
        <v>-2.5224488148604856E-3</v>
      </c>
      <c r="E47" s="8">
        <f t="shared" ref="E47:T47" si="11">IF(E34&lt;&gt;0,(F34-E34)/(E34),0)</f>
        <v>2.5003967558725762E-2</v>
      </c>
      <c r="F47" s="8">
        <f t="shared" si="11"/>
        <v>1.7330336741051638E-3</v>
      </c>
      <c r="G47" s="8">
        <f t="shared" si="11"/>
        <v>-1.1874386494016371E-3</v>
      </c>
      <c r="H47" s="8">
        <f t="shared" si="11"/>
        <v>-1.1823961668745598E-2</v>
      </c>
      <c r="I47" s="8">
        <f t="shared" si="11"/>
        <v>-1.401556255381861E-2</v>
      </c>
      <c r="J47" s="8">
        <f t="shared" si="11"/>
        <v>-1.5248820757730359E-2</v>
      </c>
      <c r="K47" s="8">
        <f t="shared" si="11"/>
        <v>-1.3712023063593051E-2</v>
      </c>
      <c r="L47" s="8">
        <f t="shared" si="11"/>
        <v>-1.0934798808202049E-2</v>
      </c>
      <c r="M47" s="8">
        <f t="shared" si="11"/>
        <v>-4.4719173591734607E-2</v>
      </c>
      <c r="N47" s="8">
        <f t="shared" si="11"/>
        <v>-2.4037009508346311E-2</v>
      </c>
      <c r="O47" s="8">
        <f t="shared" si="11"/>
        <v>-6.57132275277431E-3</v>
      </c>
      <c r="P47" s="8">
        <f t="shared" si="11"/>
        <v>-5.6061461150504329E-3</v>
      </c>
      <c r="Q47" s="8">
        <f t="shared" si="11"/>
        <v>-3.889139203856213E-2</v>
      </c>
      <c r="R47" s="8">
        <f t="shared" si="11"/>
        <v>-5.1189034722116271E-2</v>
      </c>
      <c r="S47" s="8">
        <f t="shared" si="11"/>
        <v>-2.2523422434617572E-2</v>
      </c>
      <c r="T47" s="8">
        <f t="shared" si="11"/>
        <v>-1.3095525176296701E-2</v>
      </c>
    </row>
    <row r="48" spans="1:21" x14ac:dyDescent="0.25">
      <c r="A48" s="6" t="s">
        <v>28</v>
      </c>
      <c r="B48" s="8">
        <f t="shared" si="1"/>
        <v>-5.1936455863502359E-2</v>
      </c>
      <c r="C48" s="8">
        <f t="shared" ref="C48:D48" si="12">IF(C35&lt;&gt;0,(D35-C35)/(C35),0)</f>
        <v>-9.9452359569346713E-2</v>
      </c>
      <c r="D48" s="8">
        <f t="shared" si="12"/>
        <v>-2.3680714262933188E-2</v>
      </c>
      <c r="E48" s="8">
        <f t="shared" ref="E48:T48" si="13">IF(E35&lt;&gt;0,(F35-E35)/(E35),0)</f>
        <v>3.1954780906020108E-2</v>
      </c>
      <c r="F48" s="8">
        <f t="shared" si="13"/>
        <v>1.6404673496395752E-2</v>
      </c>
      <c r="G48" s="8">
        <f t="shared" si="13"/>
        <v>1.6650768947570995E-3</v>
      </c>
      <c r="H48" s="8">
        <f t="shared" si="13"/>
        <v>-4.8207889795687277E-3</v>
      </c>
      <c r="I48" s="8">
        <f t="shared" si="13"/>
        <v>5.1304625996644359E-3</v>
      </c>
      <c r="J48" s="8">
        <f t="shared" si="13"/>
        <v>1.8346533992005375E-2</v>
      </c>
      <c r="K48" s="8">
        <f t="shared" si="13"/>
        <v>-2.184517217139189E-3</v>
      </c>
      <c r="L48" s="8">
        <f t="shared" si="13"/>
        <v>1.7664612971064718E-2</v>
      </c>
      <c r="M48" s="8">
        <f t="shared" si="13"/>
        <v>-1.1473888088539257E-2</v>
      </c>
      <c r="N48" s="8">
        <f t="shared" si="13"/>
        <v>-1.5818905439218121E-2</v>
      </c>
      <c r="O48" s="8">
        <f t="shared" si="13"/>
        <v>7.6925595549650694E-3</v>
      </c>
      <c r="P48" s="8">
        <f t="shared" si="13"/>
        <v>-3.4417932031814896E-2</v>
      </c>
      <c r="Q48" s="8">
        <f t="shared" si="13"/>
        <v>-8.4264800950931126E-2</v>
      </c>
      <c r="R48" s="8">
        <f t="shared" si="13"/>
        <v>-0.11333863660947789</v>
      </c>
      <c r="S48" s="8">
        <f t="shared" si="13"/>
        <v>-7.3308688716069145E-2</v>
      </c>
      <c r="T48" s="8">
        <f t="shared" si="13"/>
        <v>-4.5647293589423793E-2</v>
      </c>
    </row>
    <row r="49" spans="1:20" x14ac:dyDescent="0.25">
      <c r="A49" s="6" t="s">
        <v>29</v>
      </c>
      <c r="B49" s="8">
        <f t="shared" si="1"/>
        <v>-4.7450979885740263E-2</v>
      </c>
      <c r="C49" s="8">
        <f t="shared" ref="C49:D49" si="14">IF(C36&lt;&gt;0,(D36-C36)/(C36),0)</f>
        <v>-5.7046266080700771E-2</v>
      </c>
      <c r="D49" s="8">
        <f t="shared" si="14"/>
        <v>2.3103951969083549E-3</v>
      </c>
      <c r="E49" s="8">
        <f t="shared" ref="E49:T49" si="15">IF(E36&lt;&gt;0,(F36-E36)/(E36),0)</f>
        <v>1.7309824588078185E-2</v>
      </c>
      <c r="F49" s="8">
        <f t="shared" si="15"/>
        <v>-4.9191605448582233E-3</v>
      </c>
      <c r="G49" s="8">
        <f t="shared" si="15"/>
        <v>-4.3326283029436283E-3</v>
      </c>
      <c r="H49" s="8">
        <f t="shared" si="15"/>
        <v>-1.2767258846912152E-2</v>
      </c>
      <c r="I49" s="8">
        <f t="shared" si="15"/>
        <v>-2.2147906708419051E-2</v>
      </c>
      <c r="J49" s="8">
        <f t="shared" si="15"/>
        <v>-2.3156958401827271E-2</v>
      </c>
      <c r="K49" s="8">
        <f t="shared" si="15"/>
        <v>-5.2549188748035689E-3</v>
      </c>
      <c r="L49" s="8">
        <f t="shared" si="15"/>
        <v>-8.0952226353105236E-4</v>
      </c>
      <c r="M49" s="8">
        <f t="shared" si="15"/>
        <v>-3.767130879295303E-2</v>
      </c>
      <c r="N49" s="8">
        <f t="shared" si="15"/>
        <v>-2.1062164577842397E-2</v>
      </c>
      <c r="O49" s="8">
        <f t="shared" si="15"/>
        <v>-8.6236004539212117E-3</v>
      </c>
      <c r="P49" s="8">
        <f t="shared" si="15"/>
        <v>2.8903796803658537E-3</v>
      </c>
      <c r="Q49" s="8">
        <f t="shared" si="15"/>
        <v>-2.4219817101143581E-2</v>
      </c>
      <c r="R49" s="8">
        <f t="shared" si="15"/>
        <v>-3.4955099830300533E-2</v>
      </c>
      <c r="S49" s="8">
        <f t="shared" si="15"/>
        <v>-1.4729764949680275E-2</v>
      </c>
      <c r="T49" s="8">
        <f t="shared" si="15"/>
        <v>-1.4856849529517664E-2</v>
      </c>
    </row>
    <row r="50" spans="1:20" x14ac:dyDescent="0.25">
      <c r="A50" s="6" t="s">
        <v>30</v>
      </c>
      <c r="B50" s="8">
        <f t="shared" si="1"/>
        <v>-8.2269166268519392E-2</v>
      </c>
      <c r="C50" s="8">
        <f t="shared" ref="C50:D50" si="16">IF(C37&lt;&gt;0,(D37-C37)/(C37),0)</f>
        <v>-7.2986310540634272E-2</v>
      </c>
      <c r="D50" s="8">
        <f t="shared" si="16"/>
        <v>6.8806284313087255E-3</v>
      </c>
      <c r="E50" s="8">
        <f t="shared" ref="E50:T50" si="17">IF(E37&lt;&gt;0,(F37-E37)/(E37),0)</f>
        <v>5.8955932834598559E-2</v>
      </c>
      <c r="F50" s="8">
        <f t="shared" si="17"/>
        <v>1.4860903409419314E-2</v>
      </c>
      <c r="G50" s="8">
        <f t="shared" si="17"/>
        <v>1.1695381046423764E-2</v>
      </c>
      <c r="H50" s="8">
        <f t="shared" si="17"/>
        <v>-1.8533553859498616E-2</v>
      </c>
      <c r="I50" s="8">
        <f t="shared" si="17"/>
        <v>-1.6092405305646641E-3</v>
      </c>
      <c r="J50" s="8">
        <f t="shared" si="17"/>
        <v>-3.04355108471112E-2</v>
      </c>
      <c r="K50" s="8">
        <f t="shared" si="17"/>
        <v>-8.1596835371731152E-2</v>
      </c>
      <c r="L50" s="8">
        <f t="shared" si="17"/>
        <v>-0.12850213362993335</v>
      </c>
      <c r="M50" s="8">
        <f t="shared" si="17"/>
        <v>-0.17038263547915197</v>
      </c>
      <c r="N50" s="8">
        <f t="shared" si="17"/>
        <v>-7.0491873331557015E-2</v>
      </c>
      <c r="O50" s="8">
        <f t="shared" si="17"/>
        <v>-3.1176434796130158E-2</v>
      </c>
      <c r="P50" s="8">
        <f t="shared" si="17"/>
        <v>9.3202029844747028E-3</v>
      </c>
      <c r="Q50" s="8">
        <f t="shared" si="17"/>
        <v>-3.1662670460987904E-2</v>
      </c>
      <c r="R50" s="8">
        <f t="shared" si="17"/>
        <v>-1.9256363096326085E-2</v>
      </c>
      <c r="S50" s="8">
        <f t="shared" si="17"/>
        <v>3.8235127103405195E-2</v>
      </c>
      <c r="T50" s="8">
        <f t="shared" si="17"/>
        <v>7.3515243393641239E-2</v>
      </c>
    </row>
    <row r="55" spans="1:20" x14ac:dyDescent="0.25">
      <c r="A55" s="2" t="s">
        <v>22</v>
      </c>
      <c r="B55" t="s">
        <v>131</v>
      </c>
      <c r="C55" t="s">
        <v>132</v>
      </c>
    </row>
    <row r="56" spans="1:20" x14ac:dyDescent="0.25">
      <c r="A56" s="3">
        <v>1997</v>
      </c>
      <c r="B56" s="5">
        <v>26389142</v>
      </c>
      <c r="C56" s="5">
        <v>26292989</v>
      </c>
    </row>
    <row r="57" spans="1:20" x14ac:dyDescent="0.25">
      <c r="A57" s="3">
        <v>1998</v>
      </c>
      <c r="B57" s="5">
        <v>24971428</v>
      </c>
      <c r="C57" s="5">
        <v>24878284</v>
      </c>
    </row>
    <row r="58" spans="1:20" x14ac:dyDescent="0.25">
      <c r="A58" s="3">
        <v>1999</v>
      </c>
      <c r="B58" s="5">
        <v>23268756</v>
      </c>
      <c r="C58" s="5">
        <v>23179345</v>
      </c>
    </row>
    <row r="59" spans="1:20" x14ac:dyDescent="0.25">
      <c r="A59" s="3">
        <v>2000</v>
      </c>
      <c r="B59" s="5">
        <v>23216140</v>
      </c>
      <c r="C59" s="5">
        <v>23125962</v>
      </c>
    </row>
    <row r="60" spans="1:20" x14ac:dyDescent="0.25">
      <c r="A60" s="3">
        <v>2001</v>
      </c>
      <c r="B60" s="5">
        <v>23753338</v>
      </c>
      <c r="C60" s="5">
        <v>23662475</v>
      </c>
    </row>
    <row r="61" spans="1:20" x14ac:dyDescent="0.25">
      <c r="A61" s="3">
        <v>2002</v>
      </c>
      <c r="B61" s="5">
        <v>23757908</v>
      </c>
      <c r="C61" s="5">
        <v>23662673</v>
      </c>
    </row>
    <row r="62" spans="1:20" x14ac:dyDescent="0.25">
      <c r="A62" s="3">
        <v>2003</v>
      </c>
      <c r="B62" s="5">
        <v>23653076</v>
      </c>
      <c r="C62" s="5">
        <v>23559193</v>
      </c>
    </row>
    <row r="63" spans="1:20" x14ac:dyDescent="0.25">
      <c r="A63" s="3">
        <v>2004</v>
      </c>
      <c r="B63" s="5">
        <v>23358948</v>
      </c>
      <c r="C63" s="5">
        <v>23263859</v>
      </c>
    </row>
    <row r="64" spans="1:20" x14ac:dyDescent="0.25">
      <c r="A64" s="3">
        <v>2005</v>
      </c>
      <c r="B64" s="5">
        <v>23130998</v>
      </c>
      <c r="C64" s="5">
        <v>23036651</v>
      </c>
    </row>
    <row r="65" spans="1:3" x14ac:dyDescent="0.25">
      <c r="A65" s="3">
        <v>2006</v>
      </c>
      <c r="B65" s="5">
        <v>22909448</v>
      </c>
      <c r="C65" s="5">
        <v>22814976</v>
      </c>
    </row>
    <row r="66" spans="1:3" x14ac:dyDescent="0.25">
      <c r="A66" s="3">
        <v>2007</v>
      </c>
      <c r="B66" s="5">
        <v>22610364</v>
      </c>
      <c r="C66" s="5">
        <v>22518204</v>
      </c>
    </row>
    <row r="67" spans="1:3" x14ac:dyDescent="0.25">
      <c r="A67" s="3">
        <v>2008</v>
      </c>
      <c r="B67" s="5">
        <v>22337226</v>
      </c>
      <c r="C67" s="5">
        <v>22246476</v>
      </c>
    </row>
    <row r="68" spans="1:3" x14ac:dyDescent="0.25">
      <c r="A68" s="3">
        <v>2009</v>
      </c>
      <c r="B68" s="5">
        <v>21325912</v>
      </c>
      <c r="C68" s="5">
        <v>21236671</v>
      </c>
    </row>
    <row r="69" spans="1:3" x14ac:dyDescent="0.25">
      <c r="A69" s="3">
        <v>2010</v>
      </c>
      <c r="B69" s="5">
        <v>20727746</v>
      </c>
      <c r="C69" s="5">
        <v>20642153</v>
      </c>
    </row>
    <row r="70" spans="1:3" x14ac:dyDescent="0.25">
      <c r="A70" s="3">
        <v>2011</v>
      </c>
      <c r="B70" s="5">
        <v>20517496</v>
      </c>
      <c r="C70" s="5">
        <v>20433321</v>
      </c>
    </row>
    <row r="71" spans="1:3" x14ac:dyDescent="0.25">
      <c r="A71" s="3">
        <v>2012</v>
      </c>
      <c r="B71" s="5">
        <v>20438098</v>
      </c>
      <c r="C71" s="5">
        <v>20352957</v>
      </c>
    </row>
    <row r="72" spans="1:3" x14ac:dyDescent="0.25">
      <c r="A72" s="3">
        <v>2013</v>
      </c>
      <c r="B72" s="5">
        <v>19640380</v>
      </c>
      <c r="C72" s="5">
        <v>19671966</v>
      </c>
    </row>
    <row r="73" spans="1:3" x14ac:dyDescent="0.25">
      <c r="A73" s="3">
        <v>2014</v>
      </c>
      <c r="B73" s="5">
        <v>18724064</v>
      </c>
      <c r="C73" s="5">
        <v>18757227</v>
      </c>
    </row>
    <row r="74" spans="1:3" x14ac:dyDescent="0.25">
      <c r="A74" s="3">
        <v>2015</v>
      </c>
      <c r="B74" s="5">
        <v>18446850</v>
      </c>
      <c r="C74" s="5">
        <v>18481723</v>
      </c>
    </row>
    <row r="75" spans="1:3" x14ac:dyDescent="0.25">
      <c r="A75" s="3">
        <v>2016</v>
      </c>
      <c r="B75" s="5">
        <v>18334440</v>
      </c>
      <c r="C75" s="5">
        <v>18369313</v>
      </c>
    </row>
    <row r="76" spans="1:3" x14ac:dyDescent="0.25">
      <c r="A76" s="3" t="s">
        <v>23</v>
      </c>
      <c r="B76" s="5">
        <v>441511758</v>
      </c>
      <c r="C76" s="5">
        <v>440186418</v>
      </c>
    </row>
    <row r="83" spans="1:21" x14ac:dyDescent="0.25">
      <c r="B83" s="12">
        <v>1997</v>
      </c>
      <c r="C83" s="12">
        <v>1998</v>
      </c>
      <c r="D83" s="12">
        <v>1999</v>
      </c>
      <c r="E83" s="12">
        <v>2000</v>
      </c>
      <c r="F83" s="12">
        <v>2001</v>
      </c>
      <c r="G83" s="12">
        <v>2002</v>
      </c>
      <c r="H83" s="12">
        <v>2003</v>
      </c>
      <c r="I83" s="12">
        <v>2004</v>
      </c>
      <c r="J83" s="12">
        <v>2005</v>
      </c>
      <c r="K83" s="12">
        <v>2006</v>
      </c>
      <c r="L83" s="12">
        <v>2007</v>
      </c>
      <c r="M83" s="12">
        <v>2008</v>
      </c>
      <c r="N83" s="12">
        <v>2009</v>
      </c>
      <c r="O83" s="12">
        <v>2010</v>
      </c>
      <c r="P83" s="12">
        <v>2011</v>
      </c>
      <c r="Q83" s="12">
        <v>2012</v>
      </c>
      <c r="R83" s="12">
        <v>2013</v>
      </c>
      <c r="S83" s="12">
        <v>2014</v>
      </c>
      <c r="T83" s="12">
        <v>2015</v>
      </c>
      <c r="U83" s="12">
        <v>2016</v>
      </c>
    </row>
    <row r="84" spans="1:21" x14ac:dyDescent="0.25">
      <c r="A84" s="6" t="s">
        <v>129</v>
      </c>
      <c r="B84" s="5">
        <f>INDEX(Crime[Total(Legacy def)],MATCH(B83,Crime[Year],0))</f>
        <v>26389142</v>
      </c>
      <c r="C84" s="5">
        <f>SUMIFS(Crime[Total(Legacy def)], Crime[Year],C$83)</f>
        <v>24971428</v>
      </c>
      <c r="D84" s="5">
        <f>SUMIFS(Crime[Total(Legacy def)], Crime[Year],D$83)</f>
        <v>23268756</v>
      </c>
      <c r="E84" s="5">
        <f>SUMIFS(Crime[Total(Legacy def)], Crime[Year],E$83)</f>
        <v>23216140</v>
      </c>
      <c r="F84" s="5">
        <f>SUMIFS(Crime[Total(Legacy def)], Crime[Year],F$83)</f>
        <v>23753338</v>
      </c>
      <c r="G84" s="5">
        <f>SUMIFS(Crime[Total(Legacy def)], Crime[Year],G$83)</f>
        <v>23757908</v>
      </c>
      <c r="H84" s="5">
        <f>SUMIFS(Crime[Total(Legacy def)], Crime[Year],H$83)</f>
        <v>23653076</v>
      </c>
      <c r="I84" s="5">
        <f>SUMIFS(Crime[Total(Legacy def)], Crime[Year],I$83)</f>
        <v>23358948</v>
      </c>
      <c r="J84" s="5">
        <f>SUMIFS(Crime[Total(Legacy def)], Crime[Year],J$83)</f>
        <v>23130998</v>
      </c>
      <c r="K84" s="5">
        <f>SUMIFS(Crime[Total(Legacy def)], Crime[Year],K$83)</f>
        <v>22909448</v>
      </c>
      <c r="L84" s="5">
        <f>SUMIFS(Crime[Total(Legacy def)], Crime[Year],L$83)</f>
        <v>22610364</v>
      </c>
      <c r="M84" s="5">
        <f>SUMIFS(Crime[Total(Legacy def)], Crime[Year],M$83)</f>
        <v>22337226</v>
      </c>
      <c r="N84" s="5">
        <f>SUMIFS(Crime[Total(Legacy def)], Crime[Year],N$83)</f>
        <v>21325912</v>
      </c>
      <c r="O84" s="5">
        <f>SUMIFS(Crime[Total(Legacy def)], Crime[Year],O$83)</f>
        <v>20727746</v>
      </c>
      <c r="P84" s="5">
        <f>SUMIFS(Crime[Total(Legacy def)], Crime[Year],P$83)</f>
        <v>20517496</v>
      </c>
      <c r="Q84" s="5">
        <f>SUMIFS(Crime[Total(Legacy def)], Crime[Year],Q$83)</f>
        <v>20438098</v>
      </c>
      <c r="R84" s="5">
        <f>SUMIFS(Crime[Total(Legacy def)], Crime[Year],R$83)</f>
        <v>19640380</v>
      </c>
      <c r="S84" s="5">
        <f>SUMIFS(Crime[Total(Legacy def)], Crime[Year],S$83)</f>
        <v>18724064</v>
      </c>
      <c r="T84" s="5">
        <f>SUMIFS(Crime[Total(Legacy def)], Crime[Year],T$83)</f>
        <v>18446850</v>
      </c>
      <c r="U84" s="5">
        <f>SUMIFS(Crime[Total(Legacy def)], Crime[Year],U$83)</f>
        <v>18334440</v>
      </c>
    </row>
    <row r="85" spans="1:21" x14ac:dyDescent="0.25">
      <c r="A85" s="6" t="s">
        <v>130</v>
      </c>
      <c r="B85" s="5">
        <f>VLOOKUP(B83,Crime[],24,FALSE)</f>
        <v>26292989</v>
      </c>
      <c r="C85" s="5">
        <f>VLOOKUP(C83,Crime[],24,FALSE)</f>
        <v>24878284</v>
      </c>
      <c r="D85" s="5">
        <f>VLOOKUP(D83,Crime[],24,FALSE)</f>
        <v>23179345</v>
      </c>
      <c r="E85" s="5">
        <f>VLOOKUP(E83,Crime[],24,FALSE)</f>
        <v>23125962</v>
      </c>
      <c r="F85" s="5">
        <f>VLOOKUP(F83,Crime[],24,FALSE)</f>
        <v>23662475</v>
      </c>
      <c r="G85" s="5">
        <f>VLOOKUP(G83,Crime[],24,FALSE)</f>
        <v>23662673</v>
      </c>
      <c r="H85" s="5">
        <f>VLOOKUP(H83,Crime[],24,FALSE)</f>
        <v>23559193</v>
      </c>
      <c r="I85" s="5">
        <f>VLOOKUP(I83,Crime[],24,FALSE)</f>
        <v>23263859</v>
      </c>
      <c r="J85" s="5">
        <f>VLOOKUP(J83,Crime[],24,FALSE)</f>
        <v>23036651</v>
      </c>
      <c r="K85" s="5">
        <f>VLOOKUP(K83,Crime[],24,FALSE)</f>
        <v>22814976</v>
      </c>
      <c r="L85" s="5">
        <f>VLOOKUP(L83,Crime[],24,FALSE)</f>
        <v>22518204</v>
      </c>
      <c r="M85" s="5">
        <f>VLOOKUP(M83,Crime[],24,FALSE)</f>
        <v>22246476</v>
      </c>
      <c r="N85" s="5">
        <f>VLOOKUP(N83,Crime[],24,FALSE)</f>
        <v>21236671</v>
      </c>
      <c r="O85" s="5">
        <f>VLOOKUP(O83,Crime[],24,FALSE)</f>
        <v>20642153</v>
      </c>
      <c r="P85" s="5">
        <f>VLOOKUP(P83,Crime[],24,FALSE)</f>
        <v>20433321</v>
      </c>
      <c r="Q85" s="5">
        <f>VLOOKUP(Q83,Crime[],24,FALSE)</f>
        <v>20352957</v>
      </c>
      <c r="R85" s="5">
        <f>VLOOKUP(R83,Crime[],24,FALSE)</f>
        <v>19671966</v>
      </c>
      <c r="S85" s="5">
        <f>VLOOKUP(S83,Crime[],24,FALSE)</f>
        <v>18757227</v>
      </c>
      <c r="T85" s="5">
        <f>VLOOKUP(T83,Crime[],24,FALSE)</f>
        <v>18481723</v>
      </c>
      <c r="U85" s="5">
        <f>VLOOKUP(U83,Crime[],24,FALSE)</f>
        <v>18369313</v>
      </c>
    </row>
    <row r="87" spans="1:21" x14ac:dyDescent="0.25">
      <c r="B87" s="12">
        <v>1998</v>
      </c>
      <c r="C87" s="12">
        <v>1999</v>
      </c>
      <c r="D87" s="12">
        <v>2000</v>
      </c>
      <c r="E87" s="12">
        <v>2001</v>
      </c>
      <c r="F87" s="12">
        <v>2002</v>
      </c>
      <c r="G87" s="12">
        <v>2003</v>
      </c>
      <c r="H87" s="12">
        <v>2004</v>
      </c>
      <c r="I87" s="12">
        <v>2005</v>
      </c>
      <c r="J87" s="12">
        <v>2006</v>
      </c>
      <c r="K87" s="12">
        <v>2007</v>
      </c>
      <c r="L87" s="12">
        <v>2008</v>
      </c>
      <c r="M87" s="12">
        <v>2009</v>
      </c>
      <c r="N87" s="12">
        <v>2010</v>
      </c>
      <c r="O87" s="12">
        <v>2011</v>
      </c>
      <c r="P87" s="12">
        <v>2012</v>
      </c>
      <c r="Q87" s="12">
        <v>2013</v>
      </c>
      <c r="R87" s="12">
        <v>2014</v>
      </c>
      <c r="S87" s="12">
        <v>2015</v>
      </c>
      <c r="T87" s="12">
        <v>2016</v>
      </c>
      <c r="U87" s="13"/>
    </row>
    <row r="88" spans="1:21" x14ac:dyDescent="0.25">
      <c r="A88" s="6" t="s">
        <v>129</v>
      </c>
      <c r="B88" s="8">
        <f>IF(B84&lt;&gt;0,(C84-B84)/(B84),0)</f>
        <v>-5.3723383655292771E-2</v>
      </c>
      <c r="C88" s="8">
        <f t="shared" ref="C88:T88" si="18">IF(C84&lt;&gt;0,(D84-C84)/(C84),0)</f>
        <v>-6.8184807052283913E-2</v>
      </c>
      <c r="D88" s="8">
        <f t="shared" si="18"/>
        <v>-2.2612296076335151E-3</v>
      </c>
      <c r="E88" s="8">
        <f t="shared" si="18"/>
        <v>2.3138988651860301E-2</v>
      </c>
      <c r="F88" s="8">
        <f t="shared" si="18"/>
        <v>1.9239401215946997E-4</v>
      </c>
      <c r="G88" s="8">
        <f t="shared" si="18"/>
        <v>-4.4125097209737488E-3</v>
      </c>
      <c r="H88" s="8">
        <f t="shared" si="18"/>
        <v>-1.2435084553061936E-2</v>
      </c>
      <c r="I88" s="8">
        <f t="shared" si="18"/>
        <v>-9.7585730316279654E-3</v>
      </c>
      <c r="J88" s="8">
        <f t="shared" si="18"/>
        <v>-9.5780562516152561E-3</v>
      </c>
      <c r="K88" s="8">
        <f t="shared" si="18"/>
        <v>-1.3055050475244974E-2</v>
      </c>
      <c r="L88" s="8">
        <f t="shared" si="18"/>
        <v>-1.2080212419402004E-2</v>
      </c>
      <c r="M88" s="8">
        <f t="shared" si="18"/>
        <v>-4.5274825083472761E-2</v>
      </c>
      <c r="N88" s="8">
        <f t="shared" si="18"/>
        <v>-2.8048788722376795E-2</v>
      </c>
      <c r="O88" s="8">
        <f t="shared" si="18"/>
        <v>-1.0143408743044226E-2</v>
      </c>
      <c r="P88" s="8">
        <f t="shared" si="18"/>
        <v>-3.8697704632183185E-3</v>
      </c>
      <c r="Q88" s="8">
        <f t="shared" si="18"/>
        <v>-3.903093135183127E-2</v>
      </c>
      <c r="R88" s="8">
        <f t="shared" si="18"/>
        <v>-4.6654698127021985E-2</v>
      </c>
      <c r="S88" s="8">
        <f t="shared" si="18"/>
        <v>-1.480522604494409E-2</v>
      </c>
      <c r="T88" s="8">
        <f t="shared" si="18"/>
        <v>-6.0937233186153733E-3</v>
      </c>
    </row>
    <row r="89" spans="1:21" x14ac:dyDescent="0.25">
      <c r="A89" s="6" t="s">
        <v>130</v>
      </c>
      <c r="B89" s="8">
        <f>IF(B85&lt;&gt;0,(C85-B85)/(B85),0)</f>
        <v>-5.3805407973965991E-2</v>
      </c>
      <c r="C89" s="8">
        <f t="shared" ref="C89:T89" si="19">IF(C85&lt;&gt;0,(D85-C85)/(C85),0)</f>
        <v>-6.829003961848816E-2</v>
      </c>
      <c r="D89" s="8">
        <f t="shared" si="19"/>
        <v>-2.3030417813790682E-3</v>
      </c>
      <c r="E89" s="8">
        <f t="shared" si="19"/>
        <v>2.319959705892451E-2</v>
      </c>
      <c r="F89" s="8">
        <f t="shared" si="19"/>
        <v>8.3676792051549971E-6</v>
      </c>
      <c r="G89" s="8">
        <f t="shared" si="19"/>
        <v>-4.3731323168773031E-3</v>
      </c>
      <c r="H89" s="8">
        <f t="shared" si="19"/>
        <v>-1.2535828370691645E-2</v>
      </c>
      <c r="I89" s="8">
        <f t="shared" si="19"/>
        <v>-9.766565383670869E-3</v>
      </c>
      <c r="J89" s="8">
        <f t="shared" si="19"/>
        <v>-9.622709481512743E-3</v>
      </c>
      <c r="K89" s="8">
        <f t="shared" si="19"/>
        <v>-1.3007771737300973E-2</v>
      </c>
      <c r="L89" s="8">
        <f t="shared" si="19"/>
        <v>-1.2067036962628104E-2</v>
      </c>
      <c r="M89" s="8">
        <f t="shared" si="19"/>
        <v>-4.539168360867582E-2</v>
      </c>
      <c r="N89" s="8">
        <f t="shared" si="19"/>
        <v>-2.7994877351539701E-2</v>
      </c>
      <c r="O89" s="8">
        <f t="shared" si="19"/>
        <v>-1.0116774156261703E-2</v>
      </c>
      <c r="P89" s="8">
        <f t="shared" si="19"/>
        <v>-3.9329876920154092E-3</v>
      </c>
      <c r="Q89" s="8">
        <f t="shared" si="19"/>
        <v>-3.3459069362746653E-2</v>
      </c>
      <c r="R89" s="8">
        <f t="shared" si="19"/>
        <v>-4.6499622864333949E-2</v>
      </c>
      <c r="S89" s="8">
        <f t="shared" si="19"/>
        <v>-1.4687885368130375E-2</v>
      </c>
      <c r="T89" s="8">
        <f t="shared" si="19"/>
        <v>-6.0822251258716518E-3</v>
      </c>
    </row>
  </sheetData>
  <conditionalFormatting sqref="B41:T50">
    <cfRule type="iconSet" priority="2">
      <iconSet iconSet="5Arrows">
        <cfvo type="percent" val="0"/>
        <cfvo type="num" val="-0.02"/>
        <cfvo type="num" val="0"/>
        <cfvo type="num" val="0" gte="0"/>
        <cfvo type="num" val="0.02"/>
      </iconSet>
    </cfRule>
  </conditionalFormatting>
  <conditionalFormatting sqref="B88:T89">
    <cfRule type="iconSet" priority="1">
      <iconSet iconSet="5Arrows">
        <cfvo type="percent" val="0"/>
        <cfvo type="num" val="-5.0000000000000001E-3"/>
        <cfvo type="num" val="0"/>
        <cfvo type="num" val="0" gte="0"/>
        <cfvo type="num" val="5.0000000000000001E-3" gte="0"/>
      </iconSet>
    </cfRule>
  </conditionalFormatting>
  <pageMargins left="0.7" right="0.7" top="0.75" bottom="0.75" header="0.3" footer="0.3"/>
  <pageSetup orientation="portrait"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72FF5-5BF7-4858-837C-0CFEAA50F702}">
  <sheetPr codeName="Sheet3"/>
  <dimension ref="A1:Q106"/>
  <sheetViews>
    <sheetView topLeftCell="H10" workbookViewId="0">
      <selection activeCell="Q2" sqref="Q2"/>
    </sheetView>
  </sheetViews>
  <sheetFormatPr defaultRowHeight="15" x14ac:dyDescent="0.25"/>
  <cols>
    <col min="1" max="2" width="18.7109375" bestFit="1" customWidth="1"/>
    <col min="3" max="3" width="18.7109375" customWidth="1"/>
    <col min="4" max="4" width="7.28515625" bestFit="1" customWidth="1"/>
    <col min="5" max="5" width="13" bestFit="1" customWidth="1"/>
    <col min="6" max="6" width="15.42578125" bestFit="1" customWidth="1"/>
    <col min="7" max="7" width="40.42578125" bestFit="1" customWidth="1"/>
    <col min="8" max="8" width="25.85546875" bestFit="1" customWidth="1"/>
    <col min="9" max="9" width="24.85546875" bestFit="1" customWidth="1"/>
    <col min="10" max="10" width="10.7109375" bestFit="1" customWidth="1"/>
    <col min="11" max="11" width="20.140625" bestFit="1" customWidth="1"/>
    <col min="12" max="12" width="16.5703125" bestFit="1" customWidth="1"/>
    <col min="13" max="13" width="10.5703125" bestFit="1" customWidth="1"/>
    <col min="14" max="14" width="15.140625" bestFit="1" customWidth="1"/>
    <col min="15" max="15" width="20.85546875" bestFit="1" customWidth="1"/>
    <col min="16" max="16" width="27.140625" bestFit="1" customWidth="1"/>
    <col min="17" max="17" width="25.28515625" bestFit="1" customWidth="1"/>
  </cols>
  <sheetData>
    <row r="1" spans="1:17" x14ac:dyDescent="0.25">
      <c r="A1" t="s">
        <v>33</v>
      </c>
      <c r="B1" t="s">
        <v>34</v>
      </c>
      <c r="C1" t="s">
        <v>102</v>
      </c>
      <c r="D1" t="s">
        <v>0</v>
      </c>
      <c r="E1" t="s">
        <v>35</v>
      </c>
      <c r="F1" t="s">
        <v>36</v>
      </c>
      <c r="G1" t="s">
        <v>37</v>
      </c>
      <c r="H1" t="s">
        <v>38</v>
      </c>
      <c r="I1" t="s">
        <v>39</v>
      </c>
      <c r="J1" t="s">
        <v>10</v>
      </c>
      <c r="K1" t="s">
        <v>40</v>
      </c>
      <c r="L1" t="s">
        <v>41</v>
      </c>
      <c r="M1" t="s">
        <v>16</v>
      </c>
      <c r="N1" t="s">
        <v>42</v>
      </c>
      <c r="O1" t="s">
        <v>43</v>
      </c>
      <c r="P1" t="s">
        <v>122</v>
      </c>
      <c r="Q1" t="s">
        <v>123</v>
      </c>
    </row>
    <row r="2" spans="1:17" x14ac:dyDescent="0.25">
      <c r="A2" s="4" t="s">
        <v>44</v>
      </c>
      <c r="B2" s="4" t="s">
        <v>98</v>
      </c>
      <c r="C2" s="4" t="s">
        <v>103</v>
      </c>
      <c r="D2" s="4" t="s">
        <v>45</v>
      </c>
      <c r="E2" s="5">
        <v>3584730</v>
      </c>
      <c r="F2" s="5">
        <v>7938</v>
      </c>
      <c r="G2" s="5">
        <v>116</v>
      </c>
      <c r="H2" s="5">
        <v>798</v>
      </c>
      <c r="I2" s="5">
        <v>585</v>
      </c>
      <c r="J2" s="5">
        <v>2925</v>
      </c>
      <c r="K2" s="5">
        <v>4099</v>
      </c>
      <c r="L2" s="5">
        <v>65610</v>
      </c>
      <c r="M2" s="5">
        <v>10286</v>
      </c>
      <c r="N2" s="5">
        <v>48898</v>
      </c>
      <c r="O2" s="5">
        <v>6426</v>
      </c>
      <c r="P2"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147096</v>
      </c>
      <c r="Q2"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146883</v>
      </c>
    </row>
    <row r="3" spans="1:17" x14ac:dyDescent="0.25">
      <c r="A3" s="4" t="s">
        <v>44</v>
      </c>
      <c r="B3" s="4" t="s">
        <v>98</v>
      </c>
      <c r="C3" s="4" t="s">
        <v>103</v>
      </c>
      <c r="D3" s="4" t="s">
        <v>46</v>
      </c>
      <c r="E3" s="5">
        <v>3576452</v>
      </c>
      <c r="F3" s="5">
        <v>8123</v>
      </c>
      <c r="G3" s="5">
        <v>78</v>
      </c>
      <c r="H3" s="5">
        <v>763</v>
      </c>
      <c r="I3" s="5">
        <v>561</v>
      </c>
      <c r="J3" s="5">
        <v>2703</v>
      </c>
      <c r="K3" s="5">
        <v>4579</v>
      </c>
      <c r="L3" s="5">
        <v>64664</v>
      </c>
      <c r="M3" s="5">
        <v>10045</v>
      </c>
      <c r="N3" s="5">
        <v>47512</v>
      </c>
      <c r="O3" s="5">
        <v>7107</v>
      </c>
      <c r="P3"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145574</v>
      </c>
      <c r="Q3"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145372</v>
      </c>
    </row>
    <row r="4" spans="1:17" x14ac:dyDescent="0.25">
      <c r="A4" s="4" t="s">
        <v>47</v>
      </c>
      <c r="B4" s="4" t="s">
        <v>98</v>
      </c>
      <c r="C4" s="4" t="s">
        <v>103</v>
      </c>
      <c r="D4" s="4" t="s">
        <v>45</v>
      </c>
      <c r="E4" s="5">
        <v>1329453</v>
      </c>
      <c r="F4" s="5">
        <v>1726</v>
      </c>
      <c r="G4" s="5">
        <v>23</v>
      </c>
      <c r="H4" s="5">
        <v>461</v>
      </c>
      <c r="I4" s="5">
        <v>337</v>
      </c>
      <c r="J4" s="5">
        <v>311</v>
      </c>
      <c r="K4" s="5">
        <v>931</v>
      </c>
      <c r="L4" s="5">
        <v>24361</v>
      </c>
      <c r="M4" s="5">
        <v>4694</v>
      </c>
      <c r="N4" s="5">
        <v>18853</v>
      </c>
      <c r="O4" s="5">
        <v>814</v>
      </c>
      <c r="P4"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52174</v>
      </c>
      <c r="Q4"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52050</v>
      </c>
    </row>
    <row r="5" spans="1:17" x14ac:dyDescent="0.25">
      <c r="A5" s="4" t="s">
        <v>47</v>
      </c>
      <c r="B5" s="4" t="s">
        <v>98</v>
      </c>
      <c r="C5" s="4" t="s">
        <v>103</v>
      </c>
      <c r="D5" s="4" t="s">
        <v>46</v>
      </c>
      <c r="E5" s="5">
        <v>1331479</v>
      </c>
      <c r="F5" s="5">
        <v>1648</v>
      </c>
      <c r="G5" s="5">
        <v>20</v>
      </c>
      <c r="H5" s="5">
        <v>412</v>
      </c>
      <c r="I5" s="5">
        <v>300</v>
      </c>
      <c r="J5" s="5">
        <v>266</v>
      </c>
      <c r="K5" s="5">
        <v>950</v>
      </c>
      <c r="L5" s="5">
        <v>21912</v>
      </c>
      <c r="M5" s="5">
        <v>4003</v>
      </c>
      <c r="N5" s="5">
        <v>17134</v>
      </c>
      <c r="O5" s="5">
        <v>775</v>
      </c>
      <c r="P5"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47120</v>
      </c>
      <c r="Q5"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47008</v>
      </c>
    </row>
    <row r="6" spans="1:17" x14ac:dyDescent="0.25">
      <c r="A6" s="4" t="s">
        <v>48</v>
      </c>
      <c r="B6" s="4" t="s">
        <v>98</v>
      </c>
      <c r="C6" s="4" t="s">
        <v>103</v>
      </c>
      <c r="D6" s="4" t="s">
        <v>45</v>
      </c>
      <c r="E6" s="5">
        <v>6784240</v>
      </c>
      <c r="F6" s="5">
        <v>26453</v>
      </c>
      <c r="G6" s="5">
        <v>131</v>
      </c>
      <c r="H6" s="5">
        <v>2082</v>
      </c>
      <c r="I6" s="5">
        <v>1538</v>
      </c>
      <c r="J6" s="5">
        <v>5266</v>
      </c>
      <c r="K6" s="5">
        <v>18974</v>
      </c>
      <c r="L6" s="5">
        <v>114547</v>
      </c>
      <c r="M6" s="5">
        <v>21826</v>
      </c>
      <c r="N6" s="5">
        <v>84676</v>
      </c>
      <c r="O6" s="5">
        <v>8045</v>
      </c>
      <c r="P6"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282000</v>
      </c>
      <c r="Q6"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281456</v>
      </c>
    </row>
    <row r="7" spans="1:17" x14ac:dyDescent="0.25">
      <c r="A7" s="4" t="s">
        <v>48</v>
      </c>
      <c r="B7" s="4" t="s">
        <v>98</v>
      </c>
      <c r="C7" s="4" t="s">
        <v>103</v>
      </c>
      <c r="D7" s="4" t="s">
        <v>46</v>
      </c>
      <c r="E7" s="5">
        <v>6811779</v>
      </c>
      <c r="F7" s="5">
        <v>25677</v>
      </c>
      <c r="G7" s="5">
        <v>134</v>
      </c>
      <c r="H7" s="5">
        <v>2128</v>
      </c>
      <c r="I7" s="5">
        <v>1592</v>
      </c>
      <c r="J7" s="5">
        <v>5365</v>
      </c>
      <c r="K7" s="5">
        <v>18050</v>
      </c>
      <c r="L7" s="5">
        <v>106339</v>
      </c>
      <c r="M7" s="5">
        <v>19193</v>
      </c>
      <c r="N7" s="5">
        <v>79088</v>
      </c>
      <c r="O7" s="5">
        <v>8058</v>
      </c>
      <c r="P7"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264032</v>
      </c>
      <c r="Q7"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263496</v>
      </c>
    </row>
    <row r="8" spans="1:17" x14ac:dyDescent="0.25">
      <c r="A8" s="4" t="s">
        <v>49</v>
      </c>
      <c r="B8" s="4" t="s">
        <v>98</v>
      </c>
      <c r="C8" s="4" t="s">
        <v>103</v>
      </c>
      <c r="D8" s="4" t="s">
        <v>45</v>
      </c>
      <c r="E8" s="5">
        <v>1330111</v>
      </c>
      <c r="F8" s="5">
        <v>2692</v>
      </c>
      <c r="G8" s="5">
        <v>15</v>
      </c>
      <c r="H8" s="5">
        <v>644</v>
      </c>
      <c r="I8" s="5">
        <v>468</v>
      </c>
      <c r="J8" s="5">
        <v>475</v>
      </c>
      <c r="K8" s="5">
        <v>1558</v>
      </c>
      <c r="L8" s="5">
        <v>23453</v>
      </c>
      <c r="M8" s="5">
        <v>3482</v>
      </c>
      <c r="N8" s="5">
        <v>19076</v>
      </c>
      <c r="O8" s="5">
        <v>895</v>
      </c>
      <c r="P8"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52290</v>
      </c>
      <c r="Q8"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52114</v>
      </c>
    </row>
    <row r="9" spans="1:17" x14ac:dyDescent="0.25">
      <c r="A9" s="4" t="s">
        <v>49</v>
      </c>
      <c r="B9" s="4" t="s">
        <v>98</v>
      </c>
      <c r="C9" s="4" t="s">
        <v>103</v>
      </c>
      <c r="D9" s="4" t="s">
        <v>46</v>
      </c>
      <c r="E9" s="5">
        <v>1334795</v>
      </c>
      <c r="F9" s="5">
        <v>2637</v>
      </c>
      <c r="G9" s="5">
        <v>17</v>
      </c>
      <c r="H9" s="5">
        <v>582</v>
      </c>
      <c r="I9" s="5">
        <v>423</v>
      </c>
      <c r="J9" s="5">
        <v>427</v>
      </c>
      <c r="K9" s="5">
        <v>1611</v>
      </c>
      <c r="L9" s="5">
        <v>20194</v>
      </c>
      <c r="M9" s="5">
        <v>2963</v>
      </c>
      <c r="N9" s="5">
        <v>16360</v>
      </c>
      <c r="O9" s="5">
        <v>871</v>
      </c>
      <c r="P9"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45662</v>
      </c>
      <c r="Q9"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45503</v>
      </c>
    </row>
    <row r="10" spans="1:17" x14ac:dyDescent="0.25">
      <c r="A10" s="4" t="s">
        <v>50</v>
      </c>
      <c r="B10" s="4" t="s">
        <v>98</v>
      </c>
      <c r="C10" s="4" t="s">
        <v>103</v>
      </c>
      <c r="D10" s="4" t="s">
        <v>45</v>
      </c>
      <c r="E10" s="5">
        <v>1055607</v>
      </c>
      <c r="F10" s="5">
        <v>2565</v>
      </c>
      <c r="G10" s="5">
        <v>31</v>
      </c>
      <c r="H10" s="5">
        <v>467</v>
      </c>
      <c r="I10" s="5">
        <v>342</v>
      </c>
      <c r="J10" s="5">
        <v>547</v>
      </c>
      <c r="K10" s="5">
        <v>1520</v>
      </c>
      <c r="L10" s="5">
        <v>20038</v>
      </c>
      <c r="M10" s="5">
        <v>3938</v>
      </c>
      <c r="N10" s="5">
        <v>14714</v>
      </c>
      <c r="O10" s="5">
        <v>1386</v>
      </c>
      <c r="P10"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45206</v>
      </c>
      <c r="Q10"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45081</v>
      </c>
    </row>
    <row r="11" spans="1:17" x14ac:dyDescent="0.25">
      <c r="A11" s="4" t="s">
        <v>50</v>
      </c>
      <c r="B11" s="4" t="s">
        <v>98</v>
      </c>
      <c r="C11" s="4" t="s">
        <v>103</v>
      </c>
      <c r="D11" s="4" t="s">
        <v>46</v>
      </c>
      <c r="E11" s="5">
        <v>1056426</v>
      </c>
      <c r="F11" s="5">
        <v>2524</v>
      </c>
      <c r="G11" s="5">
        <v>29</v>
      </c>
      <c r="H11" s="5">
        <v>442</v>
      </c>
      <c r="I11" s="5">
        <v>328</v>
      </c>
      <c r="J11" s="5">
        <v>540</v>
      </c>
      <c r="K11" s="5">
        <v>1513</v>
      </c>
      <c r="L11" s="5">
        <v>20058</v>
      </c>
      <c r="M11" s="5">
        <v>3788</v>
      </c>
      <c r="N11" s="5">
        <v>14674</v>
      </c>
      <c r="O11" s="5">
        <v>1596</v>
      </c>
      <c r="P11"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45164</v>
      </c>
      <c r="Q11"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45050</v>
      </c>
    </row>
    <row r="12" spans="1:17" x14ac:dyDescent="0.25">
      <c r="A12" s="4" t="s">
        <v>51</v>
      </c>
      <c r="B12" s="4" t="s">
        <v>98</v>
      </c>
      <c r="C12" s="4" t="s">
        <v>103</v>
      </c>
      <c r="D12" s="4" t="s">
        <v>45</v>
      </c>
      <c r="E12" s="5">
        <v>626088</v>
      </c>
      <c r="F12" s="5">
        <v>747</v>
      </c>
      <c r="G12" s="5">
        <v>10</v>
      </c>
      <c r="H12" s="5">
        <v>150</v>
      </c>
      <c r="I12" s="5">
        <v>104</v>
      </c>
      <c r="J12" s="5">
        <v>105</v>
      </c>
      <c r="K12" s="5">
        <v>482</v>
      </c>
      <c r="L12" s="5">
        <v>9064</v>
      </c>
      <c r="M12" s="5">
        <v>2034</v>
      </c>
      <c r="N12" s="5">
        <v>6834</v>
      </c>
      <c r="O12" s="5">
        <v>196</v>
      </c>
      <c r="P12"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19622</v>
      </c>
      <c r="Q12"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19576</v>
      </c>
    </row>
    <row r="13" spans="1:17" x14ac:dyDescent="0.25">
      <c r="A13" s="4" t="s">
        <v>51</v>
      </c>
      <c r="B13" s="4" t="s">
        <v>98</v>
      </c>
      <c r="C13" s="4" t="s">
        <v>103</v>
      </c>
      <c r="D13" s="4" t="s">
        <v>46</v>
      </c>
      <c r="E13" s="5">
        <v>624594</v>
      </c>
      <c r="F13" s="5">
        <v>989</v>
      </c>
      <c r="G13" s="5">
        <v>14</v>
      </c>
      <c r="H13" s="5">
        <v>178</v>
      </c>
      <c r="I13" s="5">
        <v>124</v>
      </c>
      <c r="J13" s="5">
        <v>106</v>
      </c>
      <c r="K13" s="5">
        <v>691</v>
      </c>
      <c r="L13" s="5">
        <v>10602</v>
      </c>
      <c r="M13" s="5">
        <v>2103</v>
      </c>
      <c r="N13" s="5">
        <v>8217</v>
      </c>
      <c r="O13" s="5">
        <v>282</v>
      </c>
      <c r="P13"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23182</v>
      </c>
      <c r="Q13"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23128</v>
      </c>
    </row>
    <row r="14" spans="1:17" x14ac:dyDescent="0.25">
      <c r="A14" s="4" t="s">
        <v>52</v>
      </c>
      <c r="B14" s="4" t="s">
        <v>98</v>
      </c>
      <c r="C14" s="4" t="s">
        <v>104</v>
      </c>
      <c r="D14" s="4" t="s">
        <v>45</v>
      </c>
      <c r="E14" s="5">
        <v>8935421</v>
      </c>
      <c r="F14" s="5">
        <v>22879</v>
      </c>
      <c r="G14" s="5">
        <v>363</v>
      </c>
      <c r="H14" s="5">
        <v>1373</v>
      </c>
      <c r="I14" s="5">
        <v>1019</v>
      </c>
      <c r="J14" s="5">
        <v>9729</v>
      </c>
      <c r="K14" s="5">
        <v>11414</v>
      </c>
      <c r="L14" s="5">
        <v>145701</v>
      </c>
      <c r="M14" s="5">
        <v>27960</v>
      </c>
      <c r="N14" s="5">
        <v>105963</v>
      </c>
      <c r="O14" s="5">
        <v>11778</v>
      </c>
      <c r="P14"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337160</v>
      </c>
      <c r="Q14"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336806</v>
      </c>
    </row>
    <row r="15" spans="1:17" x14ac:dyDescent="0.25">
      <c r="A15" s="4" t="s">
        <v>52</v>
      </c>
      <c r="B15" s="4" t="s">
        <v>98</v>
      </c>
      <c r="C15" s="4" t="s">
        <v>104</v>
      </c>
      <c r="D15" s="4" t="s">
        <v>46</v>
      </c>
      <c r="E15" s="5">
        <v>8944469</v>
      </c>
      <c r="F15" s="5">
        <v>21914</v>
      </c>
      <c r="G15" s="5">
        <v>372</v>
      </c>
      <c r="H15" s="5">
        <v>1453</v>
      </c>
      <c r="I15" s="5">
        <v>1089</v>
      </c>
      <c r="J15" s="5">
        <v>8984</v>
      </c>
      <c r="K15" s="5">
        <v>11105</v>
      </c>
      <c r="L15" s="5">
        <v>138152</v>
      </c>
      <c r="M15" s="5">
        <v>25284</v>
      </c>
      <c r="N15" s="5">
        <v>101540</v>
      </c>
      <c r="O15" s="5">
        <v>11328</v>
      </c>
      <c r="P15"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320132</v>
      </c>
      <c r="Q15"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319768</v>
      </c>
    </row>
    <row r="16" spans="1:17" x14ac:dyDescent="0.25">
      <c r="A16" s="4" t="s">
        <v>53</v>
      </c>
      <c r="B16" s="4" t="s">
        <v>98</v>
      </c>
      <c r="C16" s="4" t="s">
        <v>104</v>
      </c>
      <c r="D16" s="4" t="s">
        <v>45</v>
      </c>
      <c r="E16" s="5">
        <v>19747183</v>
      </c>
      <c r="F16" s="5">
        <v>75126</v>
      </c>
      <c r="G16" s="5">
        <v>613</v>
      </c>
      <c r="H16" s="5">
        <v>6141</v>
      </c>
      <c r="I16" s="5">
        <v>4414</v>
      </c>
      <c r="J16" s="5">
        <v>23879</v>
      </c>
      <c r="K16" s="5">
        <v>44493</v>
      </c>
      <c r="L16" s="5">
        <v>317225</v>
      </c>
      <c r="M16" s="5">
        <v>44117</v>
      </c>
      <c r="N16" s="5">
        <v>257837</v>
      </c>
      <c r="O16" s="5">
        <v>15271</v>
      </c>
      <c r="P16"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784702</v>
      </c>
      <c r="Q16"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782975</v>
      </c>
    </row>
    <row r="17" spans="1:17" x14ac:dyDescent="0.25">
      <c r="A17" s="4" t="s">
        <v>53</v>
      </c>
      <c r="B17" s="4" t="s">
        <v>98</v>
      </c>
      <c r="C17" s="4" t="s">
        <v>104</v>
      </c>
      <c r="D17" s="4" t="s">
        <v>46</v>
      </c>
      <c r="E17" s="5">
        <v>19745289</v>
      </c>
      <c r="F17" s="5">
        <v>74285</v>
      </c>
      <c r="G17" s="5">
        <v>630</v>
      </c>
      <c r="H17" s="5">
        <v>6260</v>
      </c>
      <c r="I17" s="5">
        <v>4569</v>
      </c>
      <c r="J17" s="5">
        <v>22316</v>
      </c>
      <c r="K17" s="5">
        <v>45079</v>
      </c>
      <c r="L17" s="5">
        <v>305181</v>
      </c>
      <c r="M17" s="5">
        <v>39821</v>
      </c>
      <c r="N17" s="5">
        <v>250968</v>
      </c>
      <c r="O17" s="5">
        <v>14392</v>
      </c>
      <c r="P17"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758932</v>
      </c>
      <c r="Q17"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757241</v>
      </c>
    </row>
    <row r="18" spans="1:17" x14ac:dyDescent="0.25">
      <c r="A18" s="4" t="s">
        <v>54</v>
      </c>
      <c r="B18" s="4" t="s">
        <v>98</v>
      </c>
      <c r="C18" s="4" t="s">
        <v>104</v>
      </c>
      <c r="D18" s="4" t="s">
        <v>45</v>
      </c>
      <c r="E18" s="5">
        <v>12791904</v>
      </c>
      <c r="F18" s="5">
        <v>40348</v>
      </c>
      <c r="G18" s="5">
        <v>665</v>
      </c>
      <c r="H18" s="5">
        <v>4299</v>
      </c>
      <c r="I18" s="5">
        <v>3105</v>
      </c>
      <c r="J18" s="5">
        <v>12965</v>
      </c>
      <c r="K18" s="5">
        <v>22419</v>
      </c>
      <c r="L18" s="5">
        <v>231941</v>
      </c>
      <c r="M18" s="5">
        <v>39573</v>
      </c>
      <c r="N18" s="5">
        <v>180236</v>
      </c>
      <c r="O18" s="5">
        <v>12132</v>
      </c>
      <c r="P18"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544578</v>
      </c>
      <c r="Q18"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543384</v>
      </c>
    </row>
    <row r="19" spans="1:17" x14ac:dyDescent="0.25">
      <c r="A19" s="4" t="s">
        <v>54</v>
      </c>
      <c r="B19" s="4" t="s">
        <v>98</v>
      </c>
      <c r="C19" s="4" t="s">
        <v>104</v>
      </c>
      <c r="D19" s="4" t="s">
        <v>46</v>
      </c>
      <c r="E19" s="5">
        <v>12784227</v>
      </c>
      <c r="F19" s="5">
        <v>40447</v>
      </c>
      <c r="G19" s="5">
        <v>661</v>
      </c>
      <c r="H19" s="5">
        <v>4433</v>
      </c>
      <c r="I19" s="5">
        <v>3233</v>
      </c>
      <c r="J19" s="5">
        <v>12326</v>
      </c>
      <c r="K19" s="5">
        <v>23027</v>
      </c>
      <c r="L19" s="5">
        <v>222795</v>
      </c>
      <c r="M19" s="5">
        <v>35520</v>
      </c>
      <c r="N19" s="5">
        <v>174228</v>
      </c>
      <c r="O19" s="5">
        <v>13047</v>
      </c>
      <c r="P19"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526484</v>
      </c>
      <c r="Q19"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525284</v>
      </c>
    </row>
    <row r="20" spans="1:17" x14ac:dyDescent="0.25">
      <c r="A20" s="4" t="s">
        <v>55</v>
      </c>
      <c r="B20" s="4" t="s">
        <v>99</v>
      </c>
      <c r="C20" s="4" t="s">
        <v>105</v>
      </c>
      <c r="D20" s="4" t="s">
        <v>45</v>
      </c>
      <c r="E20" s="5">
        <v>12839047</v>
      </c>
      <c r="F20" s="5">
        <v>49755</v>
      </c>
      <c r="G20" s="5">
        <v>754</v>
      </c>
      <c r="H20" s="5">
        <v>4926</v>
      </c>
      <c r="I20" s="5">
        <v>3602</v>
      </c>
      <c r="J20" s="5">
        <v>15056</v>
      </c>
      <c r="K20" s="5">
        <v>29019</v>
      </c>
      <c r="L20" s="5">
        <v>256962</v>
      </c>
      <c r="M20" s="5">
        <v>46846</v>
      </c>
      <c r="N20" s="5">
        <v>192424</v>
      </c>
      <c r="O20" s="5">
        <v>17692</v>
      </c>
      <c r="P20"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613434</v>
      </c>
      <c r="Q20"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612110</v>
      </c>
    </row>
    <row r="21" spans="1:17" x14ac:dyDescent="0.25">
      <c r="A21" s="4" t="s">
        <v>55</v>
      </c>
      <c r="B21" s="4" t="s">
        <v>99</v>
      </c>
      <c r="C21" s="4" t="s">
        <v>105</v>
      </c>
      <c r="D21" s="4" t="s">
        <v>46</v>
      </c>
      <c r="E21" s="5">
        <v>12801539</v>
      </c>
      <c r="F21" s="5">
        <v>55854</v>
      </c>
      <c r="G21" s="5">
        <v>1054</v>
      </c>
      <c r="H21" s="5">
        <v>4908</v>
      </c>
      <c r="I21" s="5">
        <v>3635</v>
      </c>
      <c r="J21" s="5">
        <v>17827</v>
      </c>
      <c r="K21" s="5">
        <v>32065</v>
      </c>
      <c r="L21" s="5">
        <v>262306</v>
      </c>
      <c r="M21" s="5">
        <v>47989</v>
      </c>
      <c r="N21" s="5">
        <v>194407</v>
      </c>
      <c r="O21" s="5">
        <v>19910</v>
      </c>
      <c r="P21"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636320</v>
      </c>
      <c r="Q21"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635047</v>
      </c>
    </row>
    <row r="22" spans="1:17" x14ac:dyDescent="0.25">
      <c r="A22" s="4" t="s">
        <v>56</v>
      </c>
      <c r="B22" s="4" t="s">
        <v>99</v>
      </c>
      <c r="C22" s="4" t="s">
        <v>105</v>
      </c>
      <c r="D22" s="4" t="s">
        <v>45</v>
      </c>
      <c r="E22" s="5">
        <v>6612768</v>
      </c>
      <c r="F22" s="5">
        <v>25373</v>
      </c>
      <c r="G22" s="5">
        <v>370</v>
      </c>
      <c r="H22" s="5">
        <v>2386</v>
      </c>
      <c r="I22" s="5">
        <v>1757</v>
      </c>
      <c r="J22" s="5">
        <v>7081</v>
      </c>
      <c r="K22" s="5">
        <v>15536</v>
      </c>
      <c r="L22" s="5">
        <v>171878</v>
      </c>
      <c r="M22" s="5">
        <v>34404</v>
      </c>
      <c r="N22" s="5">
        <v>123940</v>
      </c>
      <c r="O22" s="5">
        <v>13534</v>
      </c>
      <c r="P22"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394502</v>
      </c>
      <c r="Q22"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393873</v>
      </c>
    </row>
    <row r="23" spans="1:17" x14ac:dyDescent="0.25">
      <c r="A23" s="4" t="s">
        <v>56</v>
      </c>
      <c r="B23" s="4" t="s">
        <v>99</v>
      </c>
      <c r="C23" s="4" t="s">
        <v>105</v>
      </c>
      <c r="D23" s="4" t="s">
        <v>46</v>
      </c>
      <c r="E23" s="5">
        <v>6633053</v>
      </c>
      <c r="F23" s="5">
        <v>26845</v>
      </c>
      <c r="G23" s="5">
        <v>439</v>
      </c>
      <c r="H23" s="5">
        <v>2501</v>
      </c>
      <c r="I23" s="5">
        <v>1851</v>
      </c>
      <c r="J23" s="5">
        <v>7330</v>
      </c>
      <c r="K23" s="5">
        <v>16575</v>
      </c>
      <c r="L23" s="5">
        <v>171759</v>
      </c>
      <c r="M23" s="5">
        <v>34097</v>
      </c>
      <c r="N23" s="5">
        <v>122931</v>
      </c>
      <c r="O23" s="5">
        <v>14731</v>
      </c>
      <c r="P23"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397208</v>
      </c>
      <c r="Q23"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396558</v>
      </c>
    </row>
    <row r="24" spans="1:17" x14ac:dyDescent="0.25">
      <c r="A24" s="4" t="s">
        <v>57</v>
      </c>
      <c r="B24" s="4" t="s">
        <v>99</v>
      </c>
      <c r="C24" s="4" t="s">
        <v>105</v>
      </c>
      <c r="D24" s="4" t="s">
        <v>45</v>
      </c>
      <c r="E24" s="5">
        <v>9917715</v>
      </c>
      <c r="F24" s="5">
        <v>41712</v>
      </c>
      <c r="G24" s="5">
        <v>585</v>
      </c>
      <c r="H24" s="5">
        <v>6710</v>
      </c>
      <c r="I24" s="5">
        <v>4782</v>
      </c>
      <c r="J24" s="5">
        <v>7818</v>
      </c>
      <c r="K24" s="5">
        <v>26599</v>
      </c>
      <c r="L24" s="5">
        <v>191191</v>
      </c>
      <c r="M24" s="5">
        <v>40375</v>
      </c>
      <c r="N24" s="5">
        <v>132019</v>
      </c>
      <c r="O24" s="5">
        <v>18797</v>
      </c>
      <c r="P24"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465806</v>
      </c>
      <c r="Q24"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463878</v>
      </c>
    </row>
    <row r="25" spans="1:17" x14ac:dyDescent="0.25">
      <c r="A25" s="4" t="s">
        <v>57</v>
      </c>
      <c r="B25" s="4" t="s">
        <v>99</v>
      </c>
      <c r="C25" s="4" t="s">
        <v>105</v>
      </c>
      <c r="D25" s="4" t="s">
        <v>46</v>
      </c>
      <c r="E25" s="5">
        <v>9928300</v>
      </c>
      <c r="F25" s="5">
        <v>45572</v>
      </c>
      <c r="G25" s="5">
        <v>598</v>
      </c>
      <c r="H25" s="5">
        <v>7125</v>
      </c>
      <c r="I25" s="5">
        <v>5114</v>
      </c>
      <c r="J25" s="5">
        <v>7120</v>
      </c>
      <c r="K25" s="5">
        <v>30729</v>
      </c>
      <c r="L25" s="5">
        <v>189620</v>
      </c>
      <c r="M25" s="5">
        <v>39568</v>
      </c>
      <c r="N25" s="5">
        <v>129876</v>
      </c>
      <c r="O25" s="5">
        <v>20176</v>
      </c>
      <c r="P25"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470384</v>
      </c>
      <c r="Q25"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468373</v>
      </c>
    </row>
    <row r="26" spans="1:17" x14ac:dyDescent="0.25">
      <c r="A26" s="4" t="s">
        <v>58</v>
      </c>
      <c r="B26" s="4" t="s">
        <v>99</v>
      </c>
      <c r="C26" s="4" t="s">
        <v>105</v>
      </c>
      <c r="D26" s="4" t="s">
        <v>45</v>
      </c>
      <c r="E26" s="5">
        <v>11605090</v>
      </c>
      <c r="F26" s="5">
        <v>34373</v>
      </c>
      <c r="G26" s="5">
        <v>522</v>
      </c>
      <c r="H26" s="5">
        <v>5441</v>
      </c>
      <c r="I26" s="5">
        <v>3990</v>
      </c>
      <c r="J26" s="5">
        <v>12617</v>
      </c>
      <c r="K26" s="5">
        <v>15793</v>
      </c>
      <c r="L26" s="5">
        <v>303743</v>
      </c>
      <c r="M26" s="5">
        <v>69994</v>
      </c>
      <c r="N26" s="5">
        <v>216354</v>
      </c>
      <c r="O26" s="5">
        <v>17395</v>
      </c>
      <c r="P26"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676232</v>
      </c>
      <c r="Q26"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674781</v>
      </c>
    </row>
    <row r="27" spans="1:17" x14ac:dyDescent="0.25">
      <c r="A27" s="4" t="s">
        <v>58</v>
      </c>
      <c r="B27" s="4" t="s">
        <v>99</v>
      </c>
      <c r="C27" s="4" t="s">
        <v>105</v>
      </c>
      <c r="D27" s="4" t="s">
        <v>46</v>
      </c>
      <c r="E27" s="5">
        <v>11614373</v>
      </c>
      <c r="F27" s="5">
        <v>34877</v>
      </c>
      <c r="G27" s="5">
        <v>654</v>
      </c>
      <c r="H27" s="5">
        <v>5589</v>
      </c>
      <c r="I27" s="5">
        <v>4141</v>
      </c>
      <c r="J27" s="5">
        <v>12523</v>
      </c>
      <c r="K27" s="5">
        <v>16111</v>
      </c>
      <c r="L27" s="5">
        <v>299357</v>
      </c>
      <c r="M27" s="5">
        <v>66883</v>
      </c>
      <c r="N27" s="5">
        <v>212807</v>
      </c>
      <c r="O27" s="5">
        <v>19667</v>
      </c>
      <c r="P27"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668468</v>
      </c>
      <c r="Q27"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667020</v>
      </c>
    </row>
    <row r="28" spans="1:17" x14ac:dyDescent="0.25">
      <c r="A28" s="4" t="s">
        <v>59</v>
      </c>
      <c r="B28" s="4" t="s">
        <v>99</v>
      </c>
      <c r="C28" s="4" t="s">
        <v>105</v>
      </c>
      <c r="D28" s="4" t="s">
        <v>45</v>
      </c>
      <c r="E28" s="5">
        <v>5767891</v>
      </c>
      <c r="F28" s="5">
        <v>17549</v>
      </c>
      <c r="G28" s="5">
        <v>240</v>
      </c>
      <c r="H28" s="5">
        <v>1805</v>
      </c>
      <c r="I28" s="5">
        <v>1324</v>
      </c>
      <c r="J28" s="5">
        <v>5234</v>
      </c>
      <c r="K28" s="5">
        <v>10270</v>
      </c>
      <c r="L28" s="5">
        <v>114171</v>
      </c>
      <c r="M28" s="5">
        <v>19602</v>
      </c>
      <c r="N28" s="5">
        <v>83572</v>
      </c>
      <c r="O28" s="5">
        <v>10997</v>
      </c>
      <c r="P28"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263440</v>
      </c>
      <c r="Q28"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262959</v>
      </c>
    </row>
    <row r="29" spans="1:17" x14ac:dyDescent="0.25">
      <c r="A29" s="4" t="s">
        <v>59</v>
      </c>
      <c r="B29" s="4" t="s">
        <v>99</v>
      </c>
      <c r="C29" s="4" t="s">
        <v>105</v>
      </c>
      <c r="D29" s="4" t="s">
        <v>46</v>
      </c>
      <c r="E29" s="5">
        <v>5778708</v>
      </c>
      <c r="F29" s="5">
        <v>17679</v>
      </c>
      <c r="G29" s="5">
        <v>229</v>
      </c>
      <c r="H29" s="5">
        <v>1979</v>
      </c>
      <c r="I29" s="5">
        <v>1458</v>
      </c>
      <c r="J29" s="5">
        <v>4706</v>
      </c>
      <c r="K29" s="5">
        <v>10765</v>
      </c>
      <c r="L29" s="5">
        <v>111720</v>
      </c>
      <c r="M29" s="5">
        <v>19425</v>
      </c>
      <c r="N29" s="5">
        <v>82337</v>
      </c>
      <c r="O29" s="5">
        <v>9958</v>
      </c>
      <c r="P29"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258798</v>
      </c>
      <c r="Q29"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258277</v>
      </c>
    </row>
    <row r="30" spans="1:17" x14ac:dyDescent="0.25">
      <c r="A30" s="4" t="s">
        <v>60</v>
      </c>
      <c r="B30" s="4" t="s">
        <v>99</v>
      </c>
      <c r="C30" s="4" t="s">
        <v>106</v>
      </c>
      <c r="D30" s="4" t="s">
        <v>45</v>
      </c>
      <c r="E30" s="5">
        <v>3121997</v>
      </c>
      <c r="F30" s="5">
        <v>8619</v>
      </c>
      <c r="G30" s="5">
        <v>73</v>
      </c>
      <c r="H30" s="5">
        <v>1205</v>
      </c>
      <c r="I30" s="5">
        <v>877</v>
      </c>
      <c r="J30" s="5">
        <v>1050</v>
      </c>
      <c r="K30" s="5">
        <v>6291</v>
      </c>
      <c r="L30" s="5">
        <v>64688</v>
      </c>
      <c r="M30" s="5">
        <v>14977</v>
      </c>
      <c r="N30" s="5">
        <v>45328</v>
      </c>
      <c r="O30" s="5">
        <v>4383</v>
      </c>
      <c r="P30"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146614</v>
      </c>
      <c r="Q30"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146286</v>
      </c>
    </row>
    <row r="31" spans="1:17" x14ac:dyDescent="0.25">
      <c r="A31" s="4" t="s">
        <v>60</v>
      </c>
      <c r="B31" s="4" t="s">
        <v>99</v>
      </c>
      <c r="C31" s="4" t="s">
        <v>106</v>
      </c>
      <c r="D31" s="4" t="s">
        <v>46</v>
      </c>
      <c r="E31" s="5">
        <v>3134693</v>
      </c>
      <c r="F31" s="5">
        <v>9110</v>
      </c>
      <c r="G31" s="5">
        <v>71</v>
      </c>
      <c r="H31" s="5">
        <v>1247</v>
      </c>
      <c r="I31" s="5">
        <v>922</v>
      </c>
      <c r="J31" s="5">
        <v>1148</v>
      </c>
      <c r="K31" s="5">
        <v>6644</v>
      </c>
      <c r="L31" s="5">
        <v>65391</v>
      </c>
      <c r="M31" s="5">
        <v>15030</v>
      </c>
      <c r="N31" s="5">
        <v>45378</v>
      </c>
      <c r="O31" s="5">
        <v>4983</v>
      </c>
      <c r="P31"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149002</v>
      </c>
      <c r="Q31"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148677</v>
      </c>
    </row>
    <row r="32" spans="1:17" x14ac:dyDescent="0.25">
      <c r="A32" s="4" t="s">
        <v>61</v>
      </c>
      <c r="B32" s="4" t="s">
        <v>99</v>
      </c>
      <c r="C32" s="4" t="s">
        <v>106</v>
      </c>
      <c r="D32" s="4" t="s">
        <v>45</v>
      </c>
      <c r="E32" s="5">
        <v>2906721</v>
      </c>
      <c r="F32" s="5">
        <v>11483</v>
      </c>
      <c r="G32" s="5">
        <v>126</v>
      </c>
      <c r="H32" s="5">
        <v>1684</v>
      </c>
      <c r="I32" s="5">
        <v>1226</v>
      </c>
      <c r="J32" s="5">
        <v>1823</v>
      </c>
      <c r="K32" s="5">
        <v>7850</v>
      </c>
      <c r="L32" s="5">
        <v>80059</v>
      </c>
      <c r="M32" s="5">
        <v>15619</v>
      </c>
      <c r="N32" s="5">
        <v>57435</v>
      </c>
      <c r="O32" s="5">
        <v>7005</v>
      </c>
      <c r="P32"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183084</v>
      </c>
      <c r="Q32"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182626</v>
      </c>
    </row>
    <row r="33" spans="1:17" x14ac:dyDescent="0.25">
      <c r="A33" s="4" t="s">
        <v>61</v>
      </c>
      <c r="B33" s="4" t="s">
        <v>99</v>
      </c>
      <c r="C33" s="4" t="s">
        <v>106</v>
      </c>
      <c r="D33" s="4" t="s">
        <v>46</v>
      </c>
      <c r="E33" s="5">
        <v>2907289</v>
      </c>
      <c r="F33" s="5">
        <v>11060</v>
      </c>
      <c r="G33" s="5">
        <v>111</v>
      </c>
      <c r="H33" s="5">
        <v>1312</v>
      </c>
      <c r="I33" s="5">
        <v>971</v>
      </c>
      <c r="J33" s="5">
        <v>1671</v>
      </c>
      <c r="K33" s="5">
        <v>7966</v>
      </c>
      <c r="L33" s="5">
        <v>78367</v>
      </c>
      <c r="M33" s="5">
        <v>14364</v>
      </c>
      <c r="N33" s="5">
        <v>57066</v>
      </c>
      <c r="O33" s="5">
        <v>6937</v>
      </c>
      <c r="P33"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178854</v>
      </c>
      <c r="Q33"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178513</v>
      </c>
    </row>
    <row r="34" spans="1:17" x14ac:dyDescent="0.25">
      <c r="A34" s="4" t="s">
        <v>62</v>
      </c>
      <c r="B34" s="4" t="s">
        <v>99</v>
      </c>
      <c r="C34" s="4" t="s">
        <v>106</v>
      </c>
      <c r="D34" s="4" t="s">
        <v>45</v>
      </c>
      <c r="E34" s="5">
        <v>5482435</v>
      </c>
      <c r="F34" s="5">
        <v>13319</v>
      </c>
      <c r="G34" s="5">
        <v>133</v>
      </c>
      <c r="H34" s="5">
        <v>2321</v>
      </c>
      <c r="I34" s="5">
        <v>1679</v>
      </c>
      <c r="J34" s="5">
        <v>3771</v>
      </c>
      <c r="K34" s="5">
        <v>7094</v>
      </c>
      <c r="L34" s="5">
        <v>121984</v>
      </c>
      <c r="M34" s="5">
        <v>19299</v>
      </c>
      <c r="N34" s="5">
        <v>94704</v>
      </c>
      <c r="O34" s="5">
        <v>7981</v>
      </c>
      <c r="P34"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270606</v>
      </c>
      <c r="Q34"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269964</v>
      </c>
    </row>
    <row r="35" spans="1:17" x14ac:dyDescent="0.25">
      <c r="A35" s="4" t="s">
        <v>62</v>
      </c>
      <c r="B35" s="4" t="s">
        <v>99</v>
      </c>
      <c r="C35" s="4" t="s">
        <v>106</v>
      </c>
      <c r="D35" s="4" t="s">
        <v>46</v>
      </c>
      <c r="E35" s="5">
        <v>5519952</v>
      </c>
      <c r="F35" s="5">
        <v>13394</v>
      </c>
      <c r="G35" s="5">
        <v>101</v>
      </c>
      <c r="H35" s="5">
        <v>2348</v>
      </c>
      <c r="I35" s="5">
        <v>1731</v>
      </c>
      <c r="J35" s="5">
        <v>3728</v>
      </c>
      <c r="K35" s="5">
        <v>7217</v>
      </c>
      <c r="L35" s="5">
        <v>117756</v>
      </c>
      <c r="M35" s="5">
        <v>18606</v>
      </c>
      <c r="N35" s="5">
        <v>90422</v>
      </c>
      <c r="O35" s="5">
        <v>8728</v>
      </c>
      <c r="P35"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262300</v>
      </c>
      <c r="Q35"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261683</v>
      </c>
    </row>
    <row r="36" spans="1:17" x14ac:dyDescent="0.25">
      <c r="A36" s="4" t="s">
        <v>63</v>
      </c>
      <c r="B36" s="4" t="s">
        <v>99</v>
      </c>
      <c r="C36" s="4" t="s">
        <v>106</v>
      </c>
      <c r="D36" s="4" t="s">
        <v>45</v>
      </c>
      <c r="E36" s="5">
        <v>6076204</v>
      </c>
      <c r="F36" s="5">
        <v>30292</v>
      </c>
      <c r="G36" s="5">
        <v>503</v>
      </c>
      <c r="H36" s="5">
        <v>2573</v>
      </c>
      <c r="I36" s="5">
        <v>1858</v>
      </c>
      <c r="J36" s="5">
        <v>6383</v>
      </c>
      <c r="K36" s="5">
        <v>20833</v>
      </c>
      <c r="L36" s="5">
        <v>173788</v>
      </c>
      <c r="M36" s="5">
        <v>34029</v>
      </c>
      <c r="N36" s="5">
        <v>122749</v>
      </c>
      <c r="O36" s="5">
        <v>17010</v>
      </c>
      <c r="P36"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408160</v>
      </c>
      <c r="Q36"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407445</v>
      </c>
    </row>
    <row r="37" spans="1:17" x14ac:dyDescent="0.25">
      <c r="A37" s="4" t="s">
        <v>63</v>
      </c>
      <c r="B37" s="4" t="s">
        <v>99</v>
      </c>
      <c r="C37" s="4" t="s">
        <v>106</v>
      </c>
      <c r="D37" s="4" t="s">
        <v>46</v>
      </c>
      <c r="E37" s="5">
        <v>6093000</v>
      </c>
      <c r="F37" s="5">
        <v>31644</v>
      </c>
      <c r="G37" s="5">
        <v>537</v>
      </c>
      <c r="H37" s="5">
        <v>2554</v>
      </c>
      <c r="I37" s="5">
        <v>1884</v>
      </c>
      <c r="J37" s="5">
        <v>6570</v>
      </c>
      <c r="K37" s="5">
        <v>21983</v>
      </c>
      <c r="L37" s="5">
        <v>170549</v>
      </c>
      <c r="M37" s="5">
        <v>31710</v>
      </c>
      <c r="N37" s="5">
        <v>120544</v>
      </c>
      <c r="O37" s="5">
        <v>18295</v>
      </c>
      <c r="P37"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404386</v>
      </c>
      <c r="Q37"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403716</v>
      </c>
    </row>
    <row r="38" spans="1:17" x14ac:dyDescent="0.25">
      <c r="A38" s="4" t="s">
        <v>64</v>
      </c>
      <c r="B38" s="4" t="s">
        <v>99</v>
      </c>
      <c r="C38" s="4" t="s">
        <v>106</v>
      </c>
      <c r="D38" s="4" t="s">
        <v>45</v>
      </c>
      <c r="E38" s="5">
        <v>1893765</v>
      </c>
      <c r="F38" s="5">
        <v>5167</v>
      </c>
      <c r="G38" s="5">
        <v>62</v>
      </c>
      <c r="H38" s="5">
        <v>885</v>
      </c>
      <c r="I38" s="5">
        <v>648</v>
      </c>
      <c r="J38" s="5">
        <v>994</v>
      </c>
      <c r="K38" s="5">
        <v>3226</v>
      </c>
      <c r="L38" s="5">
        <v>42597</v>
      </c>
      <c r="M38" s="5">
        <v>6443</v>
      </c>
      <c r="N38" s="5">
        <v>32148</v>
      </c>
      <c r="O38" s="5">
        <v>4006</v>
      </c>
      <c r="P38"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95528</v>
      </c>
      <c r="Q38"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95291</v>
      </c>
    </row>
    <row r="39" spans="1:17" x14ac:dyDescent="0.25">
      <c r="A39" s="4" t="s">
        <v>64</v>
      </c>
      <c r="B39" s="4" t="s">
        <v>99</v>
      </c>
      <c r="C39" s="4" t="s">
        <v>106</v>
      </c>
      <c r="D39" s="4" t="s">
        <v>46</v>
      </c>
      <c r="E39" s="5">
        <v>1907116</v>
      </c>
      <c r="F39" s="5">
        <v>5550</v>
      </c>
      <c r="G39" s="5">
        <v>49</v>
      </c>
      <c r="H39" s="5">
        <v>994</v>
      </c>
      <c r="I39" s="5">
        <v>738</v>
      </c>
      <c r="J39" s="5">
        <v>946</v>
      </c>
      <c r="K39" s="5">
        <v>3561</v>
      </c>
      <c r="L39" s="5">
        <v>43163</v>
      </c>
      <c r="M39" s="5">
        <v>6444</v>
      </c>
      <c r="N39" s="5">
        <v>31994</v>
      </c>
      <c r="O39" s="5">
        <v>4725</v>
      </c>
      <c r="P39"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97426</v>
      </c>
      <c r="Q39"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97170</v>
      </c>
    </row>
    <row r="40" spans="1:17" x14ac:dyDescent="0.25">
      <c r="A40" s="4" t="s">
        <v>65</v>
      </c>
      <c r="B40" s="4" t="s">
        <v>99</v>
      </c>
      <c r="C40" s="4" t="s">
        <v>106</v>
      </c>
      <c r="D40" s="4" t="s">
        <v>45</v>
      </c>
      <c r="E40" s="5">
        <v>756835</v>
      </c>
      <c r="F40" s="5">
        <v>1949</v>
      </c>
      <c r="G40" s="5">
        <v>21</v>
      </c>
      <c r="H40" s="5">
        <v>391</v>
      </c>
      <c r="I40" s="5">
        <v>285</v>
      </c>
      <c r="J40" s="5">
        <v>159</v>
      </c>
      <c r="K40" s="5">
        <v>1378</v>
      </c>
      <c r="L40" s="5">
        <v>17716</v>
      </c>
      <c r="M40" s="5">
        <v>3296</v>
      </c>
      <c r="N40" s="5">
        <v>12686</v>
      </c>
      <c r="O40" s="5">
        <v>1734</v>
      </c>
      <c r="P40"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39330</v>
      </c>
      <c r="Q40"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39224</v>
      </c>
    </row>
    <row r="41" spans="1:17" x14ac:dyDescent="0.25">
      <c r="A41" s="4" t="s">
        <v>65</v>
      </c>
      <c r="B41" s="4" t="s">
        <v>99</v>
      </c>
      <c r="C41" s="4" t="s">
        <v>106</v>
      </c>
      <c r="D41" s="4" t="s">
        <v>46</v>
      </c>
      <c r="E41" s="5">
        <v>757952</v>
      </c>
      <c r="F41" s="5">
        <v>1903</v>
      </c>
      <c r="G41" s="5">
        <v>15</v>
      </c>
      <c r="H41" s="5">
        <v>342</v>
      </c>
      <c r="I41" s="5">
        <v>256</v>
      </c>
      <c r="J41" s="5">
        <v>181</v>
      </c>
      <c r="K41" s="5">
        <v>1365</v>
      </c>
      <c r="L41" s="5">
        <v>17402</v>
      </c>
      <c r="M41" s="5">
        <v>3243</v>
      </c>
      <c r="N41" s="5">
        <v>12195</v>
      </c>
      <c r="O41" s="5">
        <v>1964</v>
      </c>
      <c r="P41"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38610</v>
      </c>
      <c r="Q41"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38524</v>
      </c>
    </row>
    <row r="42" spans="1:17" x14ac:dyDescent="0.25">
      <c r="A42" s="4" t="s">
        <v>66</v>
      </c>
      <c r="B42" s="4" t="s">
        <v>99</v>
      </c>
      <c r="C42" s="4" t="s">
        <v>106</v>
      </c>
      <c r="D42" s="4" t="s">
        <v>45</v>
      </c>
      <c r="E42" s="5">
        <v>857919</v>
      </c>
      <c r="F42" s="5">
        <v>3302</v>
      </c>
      <c r="G42" s="5">
        <v>33</v>
      </c>
      <c r="H42" s="5">
        <v>500</v>
      </c>
      <c r="I42" s="5">
        <v>367</v>
      </c>
      <c r="J42" s="5">
        <v>215</v>
      </c>
      <c r="K42" s="5">
        <v>2554</v>
      </c>
      <c r="L42" s="5">
        <v>16739</v>
      </c>
      <c r="M42" s="5">
        <v>2969</v>
      </c>
      <c r="N42" s="5">
        <v>12576</v>
      </c>
      <c r="O42" s="5">
        <v>1194</v>
      </c>
      <c r="P42"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40082</v>
      </c>
      <c r="Q42"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39949</v>
      </c>
    </row>
    <row r="43" spans="1:17" x14ac:dyDescent="0.25">
      <c r="A43" s="4" t="s">
        <v>66</v>
      </c>
      <c r="B43" s="4" t="s">
        <v>99</v>
      </c>
      <c r="C43" s="4" t="s">
        <v>106</v>
      </c>
      <c r="D43" s="4" t="s">
        <v>46</v>
      </c>
      <c r="E43" s="5">
        <v>865454</v>
      </c>
      <c r="F43" s="5">
        <v>3621</v>
      </c>
      <c r="G43" s="5">
        <v>27</v>
      </c>
      <c r="H43" s="5">
        <v>509</v>
      </c>
      <c r="I43" s="5">
        <v>379</v>
      </c>
      <c r="J43" s="5">
        <v>272</v>
      </c>
      <c r="K43" s="5">
        <v>2813</v>
      </c>
      <c r="L43" s="5">
        <v>17141</v>
      </c>
      <c r="M43" s="5">
        <v>3000</v>
      </c>
      <c r="N43" s="5">
        <v>12639</v>
      </c>
      <c r="O43" s="5">
        <v>1502</v>
      </c>
      <c r="P43"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41524</v>
      </c>
      <c r="Q43"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41394</v>
      </c>
    </row>
    <row r="44" spans="1:17" x14ac:dyDescent="0.25">
      <c r="A44" s="4" t="s">
        <v>67</v>
      </c>
      <c r="B44" s="4" t="s">
        <v>100</v>
      </c>
      <c r="C44" s="4" t="s">
        <v>107</v>
      </c>
      <c r="D44" s="4" t="s">
        <v>45</v>
      </c>
      <c r="E44" s="5">
        <v>944076</v>
      </c>
      <c r="F44" s="5">
        <v>4760</v>
      </c>
      <c r="G44" s="5">
        <v>62</v>
      </c>
      <c r="H44" s="5">
        <v>361</v>
      </c>
      <c r="I44" s="5">
        <v>257</v>
      </c>
      <c r="J44" s="5">
        <v>1240</v>
      </c>
      <c r="K44" s="5">
        <v>3097</v>
      </c>
      <c r="L44" s="5">
        <v>25545</v>
      </c>
      <c r="M44" s="5">
        <v>4797</v>
      </c>
      <c r="N44" s="5">
        <v>19555</v>
      </c>
      <c r="O44" s="5">
        <v>1193</v>
      </c>
      <c r="P44"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60610</v>
      </c>
      <c r="Q44"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60506</v>
      </c>
    </row>
    <row r="45" spans="1:17" x14ac:dyDescent="0.25">
      <c r="A45" s="4" t="s">
        <v>67</v>
      </c>
      <c r="B45" s="4" t="s">
        <v>100</v>
      </c>
      <c r="C45" s="4" t="s">
        <v>107</v>
      </c>
      <c r="D45" s="4" t="s">
        <v>46</v>
      </c>
      <c r="E45" s="5">
        <v>952065</v>
      </c>
      <c r="F45" s="5">
        <v>4844</v>
      </c>
      <c r="G45" s="5">
        <v>56</v>
      </c>
      <c r="H45" s="5">
        <v>308</v>
      </c>
      <c r="I45" s="5">
        <v>221</v>
      </c>
      <c r="J45" s="5">
        <v>1359</v>
      </c>
      <c r="K45" s="5">
        <v>3121</v>
      </c>
      <c r="L45" s="5">
        <v>26334</v>
      </c>
      <c r="M45" s="5">
        <v>5023</v>
      </c>
      <c r="N45" s="5">
        <v>19791</v>
      </c>
      <c r="O45" s="5">
        <v>1520</v>
      </c>
      <c r="P45"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62356</v>
      </c>
      <c r="Q45"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62269</v>
      </c>
    </row>
    <row r="46" spans="1:17" x14ac:dyDescent="0.25">
      <c r="A46" s="4" t="s">
        <v>68</v>
      </c>
      <c r="B46" s="4" t="s">
        <v>100</v>
      </c>
      <c r="C46" s="4" t="s">
        <v>107</v>
      </c>
      <c r="D46" s="4" t="s">
        <v>45</v>
      </c>
      <c r="E46" s="5">
        <v>670377</v>
      </c>
      <c r="F46" s="5">
        <v>8538</v>
      </c>
      <c r="G46" s="5">
        <v>162</v>
      </c>
      <c r="H46" s="5">
        <v>494</v>
      </c>
      <c r="I46" s="5">
        <v>365</v>
      </c>
      <c r="J46" s="5">
        <v>3746</v>
      </c>
      <c r="K46" s="5">
        <v>4136</v>
      </c>
      <c r="L46" s="5">
        <v>31444</v>
      </c>
      <c r="M46" s="5">
        <v>2971</v>
      </c>
      <c r="N46" s="5">
        <v>25208</v>
      </c>
      <c r="O46" s="5">
        <v>3265</v>
      </c>
      <c r="P46"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79964</v>
      </c>
      <c r="Q46"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79835</v>
      </c>
    </row>
    <row r="47" spans="1:17" x14ac:dyDescent="0.25">
      <c r="A47" s="4" t="s">
        <v>68</v>
      </c>
      <c r="B47" s="4" t="s">
        <v>100</v>
      </c>
      <c r="C47" s="4" t="s">
        <v>107</v>
      </c>
      <c r="D47" s="4" t="s">
        <v>46</v>
      </c>
      <c r="E47" s="5">
        <v>681170</v>
      </c>
      <c r="F47" s="5">
        <v>8214</v>
      </c>
      <c r="G47" s="5">
        <v>139</v>
      </c>
      <c r="H47" s="5">
        <v>532</v>
      </c>
      <c r="I47" s="5">
        <v>401</v>
      </c>
      <c r="J47" s="5">
        <v>3480</v>
      </c>
      <c r="K47" s="5">
        <v>4063</v>
      </c>
      <c r="L47" s="5">
        <v>32716</v>
      </c>
      <c r="M47" s="5">
        <v>2361</v>
      </c>
      <c r="N47" s="5">
        <v>27382</v>
      </c>
      <c r="O47" s="5">
        <v>2973</v>
      </c>
      <c r="P47"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81860</v>
      </c>
      <c r="Q47"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81729</v>
      </c>
    </row>
    <row r="48" spans="1:17" x14ac:dyDescent="0.25">
      <c r="A48" s="4" t="s">
        <v>69</v>
      </c>
      <c r="B48" s="4" t="s">
        <v>100</v>
      </c>
      <c r="C48" s="4" t="s">
        <v>107</v>
      </c>
      <c r="D48" s="4" t="s">
        <v>45</v>
      </c>
      <c r="E48" s="5">
        <v>20244914</v>
      </c>
      <c r="F48" s="5">
        <v>93625</v>
      </c>
      <c r="G48" s="5">
        <v>1041</v>
      </c>
      <c r="H48" s="5">
        <v>7552</v>
      </c>
      <c r="I48" s="5">
        <v>5396</v>
      </c>
      <c r="J48" s="5">
        <v>21137</v>
      </c>
      <c r="K48" s="5">
        <v>63895</v>
      </c>
      <c r="L48" s="5">
        <v>570270</v>
      </c>
      <c r="M48" s="5">
        <v>109268</v>
      </c>
      <c r="N48" s="5">
        <v>420341</v>
      </c>
      <c r="O48" s="5">
        <v>40661</v>
      </c>
      <c r="P48"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1327790</v>
      </c>
      <c r="Q48"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1325634</v>
      </c>
    </row>
    <row r="49" spans="1:17" x14ac:dyDescent="0.25">
      <c r="A49" s="4" t="s">
        <v>69</v>
      </c>
      <c r="B49" s="4" t="s">
        <v>100</v>
      </c>
      <c r="C49" s="4" t="s">
        <v>107</v>
      </c>
      <c r="D49" s="4" t="s">
        <v>46</v>
      </c>
      <c r="E49" s="5">
        <v>20612439</v>
      </c>
      <c r="F49" s="5">
        <v>88700</v>
      </c>
      <c r="G49" s="5">
        <v>1111</v>
      </c>
      <c r="H49" s="5">
        <v>7598</v>
      </c>
      <c r="I49" s="5">
        <v>5528</v>
      </c>
      <c r="J49" s="5">
        <v>20175</v>
      </c>
      <c r="K49" s="5">
        <v>59816</v>
      </c>
      <c r="L49" s="5">
        <v>553812</v>
      </c>
      <c r="M49" s="5">
        <v>100325</v>
      </c>
      <c r="N49" s="5">
        <v>410352</v>
      </c>
      <c r="O49" s="5">
        <v>43135</v>
      </c>
      <c r="P49"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1285024</v>
      </c>
      <c r="Q49"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1282954</v>
      </c>
    </row>
    <row r="50" spans="1:17" x14ac:dyDescent="0.25">
      <c r="A50" s="4" t="s">
        <v>70</v>
      </c>
      <c r="B50" s="4" t="s">
        <v>100</v>
      </c>
      <c r="C50" s="4" t="s">
        <v>107</v>
      </c>
      <c r="D50" s="4" t="s">
        <v>45</v>
      </c>
      <c r="E50" s="5">
        <v>10199398</v>
      </c>
      <c r="F50" s="5">
        <v>38891</v>
      </c>
      <c r="G50" s="5">
        <v>622</v>
      </c>
      <c r="H50" s="5">
        <v>3257</v>
      </c>
      <c r="I50" s="5">
        <v>2343</v>
      </c>
      <c r="J50" s="5">
        <v>12545</v>
      </c>
      <c r="K50" s="5">
        <v>22467</v>
      </c>
      <c r="L50" s="5">
        <v>316013</v>
      </c>
      <c r="M50" s="5">
        <v>68149</v>
      </c>
      <c r="N50" s="5">
        <v>220715</v>
      </c>
      <c r="O50" s="5">
        <v>27149</v>
      </c>
      <c r="P50"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709808</v>
      </c>
      <c r="Q50"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708894</v>
      </c>
    </row>
    <row r="51" spans="1:17" x14ac:dyDescent="0.25">
      <c r="A51" s="4" t="s">
        <v>70</v>
      </c>
      <c r="B51" s="4" t="s">
        <v>100</v>
      </c>
      <c r="C51" s="4" t="s">
        <v>107</v>
      </c>
      <c r="D51" s="4" t="s">
        <v>46</v>
      </c>
      <c r="E51" s="5">
        <v>10310371</v>
      </c>
      <c r="F51" s="5">
        <v>40990</v>
      </c>
      <c r="G51" s="5">
        <v>681</v>
      </c>
      <c r="H51" s="5">
        <v>3509</v>
      </c>
      <c r="I51" s="5">
        <v>2528</v>
      </c>
      <c r="J51" s="5">
        <v>12205</v>
      </c>
      <c r="K51" s="5">
        <v>24595</v>
      </c>
      <c r="L51" s="5">
        <v>309770</v>
      </c>
      <c r="M51" s="5">
        <v>63344</v>
      </c>
      <c r="N51" s="5">
        <v>219625</v>
      </c>
      <c r="O51" s="5">
        <v>26801</v>
      </c>
      <c r="P51"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701520</v>
      </c>
      <c r="Q51"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700539</v>
      </c>
    </row>
    <row r="52" spans="1:17" x14ac:dyDescent="0.25">
      <c r="A52" s="4" t="s">
        <v>71</v>
      </c>
      <c r="B52" s="4" t="s">
        <v>100</v>
      </c>
      <c r="C52" s="4" t="s">
        <v>107</v>
      </c>
      <c r="D52" s="4" t="s">
        <v>45</v>
      </c>
      <c r="E52" s="5">
        <v>5994983</v>
      </c>
      <c r="F52" s="5">
        <v>28185</v>
      </c>
      <c r="G52" s="5">
        <v>538</v>
      </c>
      <c r="H52" s="5">
        <v>1717</v>
      </c>
      <c r="I52" s="5">
        <v>1209</v>
      </c>
      <c r="J52" s="5">
        <v>10111</v>
      </c>
      <c r="K52" s="5">
        <v>15819</v>
      </c>
      <c r="L52" s="5">
        <v>142547</v>
      </c>
      <c r="M52" s="5">
        <v>26432</v>
      </c>
      <c r="N52" s="5">
        <v>102701</v>
      </c>
      <c r="O52" s="5">
        <v>13414</v>
      </c>
      <c r="P52"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341464</v>
      </c>
      <c r="Q52"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340956</v>
      </c>
    </row>
    <row r="53" spans="1:17" x14ac:dyDescent="0.25">
      <c r="A53" s="4" t="s">
        <v>71</v>
      </c>
      <c r="B53" s="4" t="s">
        <v>100</v>
      </c>
      <c r="C53" s="4" t="s">
        <v>107</v>
      </c>
      <c r="D53" s="4" t="s">
        <v>46</v>
      </c>
      <c r="E53" s="5">
        <v>6016447</v>
      </c>
      <c r="F53" s="5">
        <v>28400</v>
      </c>
      <c r="G53" s="5">
        <v>481</v>
      </c>
      <c r="H53" s="5">
        <v>1756</v>
      </c>
      <c r="I53" s="5">
        <v>1266</v>
      </c>
      <c r="J53" s="5">
        <v>10289</v>
      </c>
      <c r="K53" s="5">
        <v>15874</v>
      </c>
      <c r="L53" s="5">
        <v>137445</v>
      </c>
      <c r="M53" s="5">
        <v>24692</v>
      </c>
      <c r="N53" s="5">
        <v>100919</v>
      </c>
      <c r="O53" s="5">
        <v>11834</v>
      </c>
      <c r="P53"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331690</v>
      </c>
      <c r="Q53"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331200</v>
      </c>
    </row>
    <row r="54" spans="1:17" x14ac:dyDescent="0.25">
      <c r="A54" s="4" t="s">
        <v>72</v>
      </c>
      <c r="B54" s="4" t="s">
        <v>100</v>
      </c>
      <c r="C54" s="4" t="s">
        <v>107</v>
      </c>
      <c r="D54" s="4" t="s">
        <v>45</v>
      </c>
      <c r="E54" s="5">
        <v>10035186</v>
      </c>
      <c r="F54" s="5">
        <v>34734</v>
      </c>
      <c r="G54" s="5">
        <v>517</v>
      </c>
      <c r="H54" s="5">
        <v>2591</v>
      </c>
      <c r="I54" s="5">
        <v>1886</v>
      </c>
      <c r="J54" s="5">
        <v>8821</v>
      </c>
      <c r="K54" s="5">
        <v>22805</v>
      </c>
      <c r="L54" s="5">
        <v>275915</v>
      </c>
      <c r="M54" s="5">
        <v>74760</v>
      </c>
      <c r="N54" s="5">
        <v>187732</v>
      </c>
      <c r="O54" s="5">
        <v>13423</v>
      </c>
      <c r="P54"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621298</v>
      </c>
      <c r="Q54"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620593</v>
      </c>
    </row>
    <row r="55" spans="1:17" x14ac:dyDescent="0.25">
      <c r="A55" s="4" t="s">
        <v>72</v>
      </c>
      <c r="B55" s="4" t="s">
        <v>100</v>
      </c>
      <c r="C55" s="4" t="s">
        <v>107</v>
      </c>
      <c r="D55" s="4" t="s">
        <v>46</v>
      </c>
      <c r="E55" s="5">
        <v>10146788</v>
      </c>
      <c r="F55" s="5">
        <v>37769</v>
      </c>
      <c r="G55" s="5">
        <v>678</v>
      </c>
      <c r="H55" s="5">
        <v>2849</v>
      </c>
      <c r="I55" s="5">
        <v>2086</v>
      </c>
      <c r="J55" s="5">
        <v>9336</v>
      </c>
      <c r="K55" s="5">
        <v>24906</v>
      </c>
      <c r="L55" s="5">
        <v>277765</v>
      </c>
      <c r="M55" s="5">
        <v>72082</v>
      </c>
      <c r="N55" s="5">
        <v>190377</v>
      </c>
      <c r="O55" s="5">
        <v>15306</v>
      </c>
      <c r="P55"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631068</v>
      </c>
      <c r="Q55"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630305</v>
      </c>
    </row>
    <row r="56" spans="1:17" x14ac:dyDescent="0.25">
      <c r="A56" s="4" t="s">
        <v>73</v>
      </c>
      <c r="B56" s="4" t="s">
        <v>100</v>
      </c>
      <c r="C56" s="4" t="s">
        <v>107</v>
      </c>
      <c r="D56" s="4" t="s">
        <v>45</v>
      </c>
      <c r="E56" s="5">
        <v>4894834</v>
      </c>
      <c r="F56" s="5">
        <v>24448</v>
      </c>
      <c r="G56" s="5">
        <v>407</v>
      </c>
      <c r="H56" s="5">
        <v>2439</v>
      </c>
      <c r="I56" s="5">
        <v>1717</v>
      </c>
      <c r="J56" s="5">
        <v>3950</v>
      </c>
      <c r="K56" s="5">
        <v>17652</v>
      </c>
      <c r="L56" s="5">
        <v>162830</v>
      </c>
      <c r="M56" s="5">
        <v>34942</v>
      </c>
      <c r="N56" s="5">
        <v>114778</v>
      </c>
      <c r="O56" s="5">
        <v>13110</v>
      </c>
      <c r="P56"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374556</v>
      </c>
      <c r="Q56"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373834</v>
      </c>
    </row>
    <row r="57" spans="1:17" x14ac:dyDescent="0.25">
      <c r="A57" s="4" t="s">
        <v>73</v>
      </c>
      <c r="B57" s="4" t="s">
        <v>100</v>
      </c>
      <c r="C57" s="4" t="s">
        <v>107</v>
      </c>
      <c r="D57" s="4" t="s">
        <v>46</v>
      </c>
      <c r="E57" s="5">
        <v>4961119</v>
      </c>
      <c r="F57" s="5">
        <v>24896</v>
      </c>
      <c r="G57" s="5">
        <v>366</v>
      </c>
      <c r="H57" s="5">
        <v>2387</v>
      </c>
      <c r="I57" s="5">
        <v>1711</v>
      </c>
      <c r="J57" s="5">
        <v>4035</v>
      </c>
      <c r="K57" s="5">
        <v>18108</v>
      </c>
      <c r="L57" s="5">
        <v>160928</v>
      </c>
      <c r="M57" s="5">
        <v>32976</v>
      </c>
      <c r="N57" s="5">
        <v>114032</v>
      </c>
      <c r="O57" s="5">
        <v>13920</v>
      </c>
      <c r="P57"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371648</v>
      </c>
      <c r="Q57"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370972</v>
      </c>
    </row>
    <row r="58" spans="1:17" x14ac:dyDescent="0.25">
      <c r="A58" s="4" t="s">
        <v>74</v>
      </c>
      <c r="B58" s="4" t="s">
        <v>100</v>
      </c>
      <c r="C58" s="4" t="s">
        <v>107</v>
      </c>
      <c r="D58" s="4" t="s">
        <v>45</v>
      </c>
      <c r="E58" s="5">
        <v>8367587</v>
      </c>
      <c r="F58" s="5">
        <v>16705</v>
      </c>
      <c r="G58" s="5">
        <v>390</v>
      </c>
      <c r="H58" s="5">
        <v>2499</v>
      </c>
      <c r="I58" s="5">
        <v>1767</v>
      </c>
      <c r="J58" s="5">
        <v>4459</v>
      </c>
      <c r="K58" s="5">
        <v>9357</v>
      </c>
      <c r="L58" s="5">
        <v>157803</v>
      </c>
      <c r="M58" s="5">
        <v>21542</v>
      </c>
      <c r="N58" s="5">
        <v>128064</v>
      </c>
      <c r="O58" s="5">
        <v>8197</v>
      </c>
      <c r="P58"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349016</v>
      </c>
      <c r="Q58"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348284</v>
      </c>
    </row>
    <row r="59" spans="1:17" x14ac:dyDescent="0.25">
      <c r="A59" s="4" t="s">
        <v>74</v>
      </c>
      <c r="B59" s="4" t="s">
        <v>100</v>
      </c>
      <c r="C59" s="4" t="s">
        <v>107</v>
      </c>
      <c r="D59" s="4" t="s">
        <v>46</v>
      </c>
      <c r="E59" s="5">
        <v>8411808</v>
      </c>
      <c r="F59" s="5">
        <v>18302</v>
      </c>
      <c r="G59" s="5">
        <v>484</v>
      </c>
      <c r="H59" s="5">
        <v>2737</v>
      </c>
      <c r="I59" s="5">
        <v>1965</v>
      </c>
      <c r="J59" s="5">
        <v>4803</v>
      </c>
      <c r="K59" s="5">
        <v>10278</v>
      </c>
      <c r="L59" s="5">
        <v>156412</v>
      </c>
      <c r="M59" s="5">
        <v>20018</v>
      </c>
      <c r="N59" s="5">
        <v>126606</v>
      </c>
      <c r="O59" s="5">
        <v>9788</v>
      </c>
      <c r="P59"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349428</v>
      </c>
      <c r="Q59"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348656</v>
      </c>
    </row>
    <row r="60" spans="1:17" x14ac:dyDescent="0.25">
      <c r="A60" s="4" t="s">
        <v>75</v>
      </c>
      <c r="B60" s="4" t="s">
        <v>100</v>
      </c>
      <c r="C60" s="4" t="s">
        <v>107</v>
      </c>
      <c r="D60" s="4" t="s">
        <v>45</v>
      </c>
      <c r="E60" s="5">
        <v>1841053</v>
      </c>
      <c r="F60" s="5">
        <v>6397</v>
      </c>
      <c r="G60" s="5">
        <v>85</v>
      </c>
      <c r="H60" s="5">
        <v>710</v>
      </c>
      <c r="I60" s="5">
        <v>493</v>
      </c>
      <c r="J60" s="5">
        <v>783</v>
      </c>
      <c r="K60" s="5">
        <v>4819</v>
      </c>
      <c r="L60" s="5">
        <v>38694</v>
      </c>
      <c r="M60" s="5">
        <v>9467</v>
      </c>
      <c r="N60" s="5">
        <v>26984</v>
      </c>
      <c r="O60" s="5">
        <v>2243</v>
      </c>
      <c r="P60"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90182</v>
      </c>
      <c r="Q60"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89965</v>
      </c>
    </row>
    <row r="61" spans="1:17" x14ac:dyDescent="0.25">
      <c r="A61" s="4" t="s">
        <v>75</v>
      </c>
      <c r="B61" s="4" t="s">
        <v>100</v>
      </c>
      <c r="C61" s="4" t="s">
        <v>107</v>
      </c>
      <c r="D61" s="4" t="s">
        <v>46</v>
      </c>
      <c r="E61" s="5">
        <v>1831102</v>
      </c>
      <c r="F61" s="5">
        <v>6557</v>
      </c>
      <c r="G61" s="5">
        <v>81</v>
      </c>
      <c r="H61" s="5">
        <v>657</v>
      </c>
      <c r="I61" s="5">
        <v>468</v>
      </c>
      <c r="J61" s="5">
        <v>720</v>
      </c>
      <c r="K61" s="5">
        <v>5099</v>
      </c>
      <c r="L61" s="5">
        <v>37487</v>
      </c>
      <c r="M61" s="5">
        <v>9301</v>
      </c>
      <c r="N61" s="5">
        <v>25677</v>
      </c>
      <c r="O61" s="5">
        <v>2509</v>
      </c>
      <c r="P61"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88088</v>
      </c>
      <c r="Q61"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87899</v>
      </c>
    </row>
    <row r="62" spans="1:17" x14ac:dyDescent="0.25">
      <c r="A62" s="4" t="s">
        <v>76</v>
      </c>
      <c r="B62" s="4" t="s">
        <v>100</v>
      </c>
      <c r="C62" s="4" t="s">
        <v>108</v>
      </c>
      <c r="D62" s="4" t="s">
        <v>45</v>
      </c>
      <c r="E62" s="5">
        <v>4853875</v>
      </c>
      <c r="F62" s="5">
        <v>22957</v>
      </c>
      <c r="G62" s="5">
        <v>348</v>
      </c>
      <c r="H62" s="5">
        <v>2037</v>
      </c>
      <c r="I62" s="5">
        <v>1449</v>
      </c>
      <c r="J62" s="5">
        <v>4612</v>
      </c>
      <c r="K62" s="5">
        <v>15960</v>
      </c>
      <c r="L62" s="5">
        <v>144785</v>
      </c>
      <c r="M62" s="5">
        <v>35265</v>
      </c>
      <c r="N62" s="5">
        <v>99182</v>
      </c>
      <c r="O62" s="5">
        <v>10338</v>
      </c>
      <c r="P62"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335484</v>
      </c>
      <c r="Q62"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334896</v>
      </c>
    </row>
    <row r="63" spans="1:17" x14ac:dyDescent="0.25">
      <c r="A63" s="4" t="s">
        <v>76</v>
      </c>
      <c r="B63" s="4" t="s">
        <v>100</v>
      </c>
      <c r="C63" s="4" t="s">
        <v>108</v>
      </c>
      <c r="D63" s="4" t="s">
        <v>46</v>
      </c>
      <c r="E63" s="5">
        <v>4863300</v>
      </c>
      <c r="F63" s="5">
        <v>25886</v>
      </c>
      <c r="G63" s="5">
        <v>407</v>
      </c>
      <c r="H63" s="5">
        <v>1916</v>
      </c>
      <c r="I63" s="5">
        <v>1385</v>
      </c>
      <c r="J63" s="5">
        <v>4686</v>
      </c>
      <c r="K63" s="5">
        <v>18877</v>
      </c>
      <c r="L63" s="5">
        <v>143362</v>
      </c>
      <c r="M63" s="5">
        <v>34065</v>
      </c>
      <c r="N63" s="5">
        <v>97574</v>
      </c>
      <c r="O63" s="5">
        <v>11723</v>
      </c>
      <c r="P63"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338496</v>
      </c>
      <c r="Q63"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337965</v>
      </c>
    </row>
    <row r="64" spans="1:17" x14ac:dyDescent="0.25">
      <c r="A64" s="4" t="s">
        <v>77</v>
      </c>
      <c r="B64" s="4" t="s">
        <v>100</v>
      </c>
      <c r="C64" s="4" t="s">
        <v>108</v>
      </c>
      <c r="D64" s="4" t="s">
        <v>45</v>
      </c>
      <c r="E64" s="5">
        <v>4424611</v>
      </c>
      <c r="F64" s="5">
        <v>9887</v>
      </c>
      <c r="G64" s="5">
        <v>219</v>
      </c>
      <c r="H64" s="5">
        <v>1644</v>
      </c>
      <c r="I64" s="5">
        <v>1165</v>
      </c>
      <c r="J64" s="5">
        <v>3314</v>
      </c>
      <c r="K64" s="5">
        <v>4710</v>
      </c>
      <c r="L64" s="5">
        <v>97545</v>
      </c>
      <c r="M64" s="5">
        <v>22526</v>
      </c>
      <c r="N64" s="5">
        <v>67143</v>
      </c>
      <c r="O64" s="5">
        <v>7876</v>
      </c>
      <c r="P64"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214864</v>
      </c>
      <c r="Q64"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214385</v>
      </c>
    </row>
    <row r="65" spans="1:17" x14ac:dyDescent="0.25">
      <c r="A65" s="4" t="s">
        <v>77</v>
      </c>
      <c r="B65" s="4" t="s">
        <v>100</v>
      </c>
      <c r="C65" s="4" t="s">
        <v>108</v>
      </c>
      <c r="D65" s="4" t="s">
        <v>46</v>
      </c>
      <c r="E65" s="5">
        <v>4436974</v>
      </c>
      <c r="F65" s="5">
        <v>10308</v>
      </c>
      <c r="G65" s="5">
        <v>260</v>
      </c>
      <c r="H65" s="5">
        <v>1641</v>
      </c>
      <c r="I65" s="5">
        <v>1174</v>
      </c>
      <c r="J65" s="5">
        <v>3369</v>
      </c>
      <c r="K65" s="5">
        <v>5038</v>
      </c>
      <c r="L65" s="5">
        <v>97158</v>
      </c>
      <c r="M65" s="5">
        <v>20834</v>
      </c>
      <c r="N65" s="5">
        <v>66438</v>
      </c>
      <c r="O65" s="5">
        <v>9886</v>
      </c>
      <c r="P65"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214932</v>
      </c>
      <c r="Q65"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214465</v>
      </c>
    </row>
    <row r="66" spans="1:17" x14ac:dyDescent="0.25">
      <c r="A66" s="4" t="s">
        <v>78</v>
      </c>
      <c r="B66" s="4" t="s">
        <v>100</v>
      </c>
      <c r="C66" s="4" t="s">
        <v>108</v>
      </c>
      <c r="D66" s="4" t="s">
        <v>45</v>
      </c>
      <c r="E66" s="5">
        <v>2989390</v>
      </c>
      <c r="F66" s="5">
        <v>8190</v>
      </c>
      <c r="G66" s="5">
        <v>253</v>
      </c>
      <c r="H66" s="5">
        <v>1158</v>
      </c>
      <c r="I66" s="5">
        <v>851</v>
      </c>
      <c r="J66" s="5">
        <v>2312</v>
      </c>
      <c r="K66" s="5">
        <v>4467</v>
      </c>
      <c r="L66" s="5">
        <v>85785</v>
      </c>
      <c r="M66" s="5">
        <v>25068</v>
      </c>
      <c r="N66" s="5">
        <v>56446</v>
      </c>
      <c r="O66" s="5">
        <v>4271</v>
      </c>
      <c r="P66"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187950</v>
      </c>
      <c r="Q66"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187643</v>
      </c>
    </row>
    <row r="67" spans="1:17" x14ac:dyDescent="0.25">
      <c r="A67" s="4" t="s">
        <v>78</v>
      </c>
      <c r="B67" s="4" t="s">
        <v>100</v>
      </c>
      <c r="C67" s="4" t="s">
        <v>108</v>
      </c>
      <c r="D67" s="4" t="s">
        <v>46</v>
      </c>
      <c r="E67" s="5">
        <v>2988726</v>
      </c>
      <c r="F67" s="5">
        <v>8383</v>
      </c>
      <c r="G67" s="5">
        <v>238</v>
      </c>
      <c r="H67" s="5">
        <v>1277</v>
      </c>
      <c r="I67" s="5">
        <v>905</v>
      </c>
      <c r="J67" s="5">
        <v>2397</v>
      </c>
      <c r="K67" s="5">
        <v>4471</v>
      </c>
      <c r="L67" s="5">
        <v>82732</v>
      </c>
      <c r="M67" s="5">
        <v>23354</v>
      </c>
      <c r="N67" s="5">
        <v>55054</v>
      </c>
      <c r="O67" s="5">
        <v>4324</v>
      </c>
      <c r="P67"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182230</v>
      </c>
      <c r="Q67"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181858</v>
      </c>
    </row>
    <row r="68" spans="1:17" x14ac:dyDescent="0.25">
      <c r="A68" s="4" t="s">
        <v>79</v>
      </c>
      <c r="B68" s="4" t="s">
        <v>100</v>
      </c>
      <c r="C68" s="4" t="s">
        <v>108</v>
      </c>
      <c r="D68" s="4" t="s">
        <v>45</v>
      </c>
      <c r="E68" s="5">
        <v>6595056</v>
      </c>
      <c r="F68" s="5">
        <v>40816</v>
      </c>
      <c r="G68" s="5">
        <v>418</v>
      </c>
      <c r="H68" s="5">
        <v>2801</v>
      </c>
      <c r="I68" s="5">
        <v>2032</v>
      </c>
      <c r="J68" s="5">
        <v>7499</v>
      </c>
      <c r="K68" s="5">
        <v>30098</v>
      </c>
      <c r="L68" s="5">
        <v>196047</v>
      </c>
      <c r="M68" s="5">
        <v>43753</v>
      </c>
      <c r="N68" s="5">
        <v>139259</v>
      </c>
      <c r="O68" s="5">
        <v>13035</v>
      </c>
      <c r="P68"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473726</v>
      </c>
      <c r="Q68"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472957</v>
      </c>
    </row>
    <row r="69" spans="1:17" x14ac:dyDescent="0.25">
      <c r="A69" s="4" t="s">
        <v>79</v>
      </c>
      <c r="B69" s="4" t="s">
        <v>100</v>
      </c>
      <c r="C69" s="4" t="s">
        <v>108</v>
      </c>
      <c r="D69" s="4" t="s">
        <v>46</v>
      </c>
      <c r="E69" s="5">
        <v>6651194</v>
      </c>
      <c r="F69" s="5">
        <v>42097</v>
      </c>
      <c r="G69" s="5">
        <v>486</v>
      </c>
      <c r="H69" s="5">
        <v>2714</v>
      </c>
      <c r="I69" s="5">
        <v>1991</v>
      </c>
      <c r="J69" s="5">
        <v>7813</v>
      </c>
      <c r="K69" s="5">
        <v>31084</v>
      </c>
      <c r="L69" s="5">
        <v>189835</v>
      </c>
      <c r="M69" s="5">
        <v>40312</v>
      </c>
      <c r="N69" s="5">
        <v>134404</v>
      </c>
      <c r="O69" s="5">
        <v>15119</v>
      </c>
      <c r="P69"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463864</v>
      </c>
      <c r="Q69"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463141</v>
      </c>
    </row>
    <row r="70" spans="1:17" x14ac:dyDescent="0.25">
      <c r="A70" s="4" t="s">
        <v>80</v>
      </c>
      <c r="B70" s="4" t="s">
        <v>100</v>
      </c>
      <c r="C70" s="4" t="s">
        <v>109</v>
      </c>
      <c r="D70" s="4" t="s">
        <v>45</v>
      </c>
      <c r="E70" s="5">
        <v>2977853</v>
      </c>
      <c r="F70" s="5">
        <v>15769</v>
      </c>
      <c r="G70" s="5">
        <v>189</v>
      </c>
      <c r="H70" s="5">
        <v>2008</v>
      </c>
      <c r="I70" s="5">
        <v>1425</v>
      </c>
      <c r="J70" s="5">
        <v>2117</v>
      </c>
      <c r="K70" s="5">
        <v>11455</v>
      </c>
      <c r="L70" s="5">
        <v>97391</v>
      </c>
      <c r="M70" s="5">
        <v>22851</v>
      </c>
      <c r="N70" s="5">
        <v>68720</v>
      </c>
      <c r="O70" s="5">
        <v>5820</v>
      </c>
      <c r="P70"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226320</v>
      </c>
      <c r="Q70"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225737</v>
      </c>
    </row>
    <row r="71" spans="1:17" x14ac:dyDescent="0.25">
      <c r="A71" s="4" t="s">
        <v>80</v>
      </c>
      <c r="B71" s="4" t="s">
        <v>100</v>
      </c>
      <c r="C71" s="4" t="s">
        <v>109</v>
      </c>
      <c r="D71" s="4" t="s">
        <v>46</v>
      </c>
      <c r="E71" s="5">
        <v>2988248</v>
      </c>
      <c r="F71" s="5">
        <v>16461</v>
      </c>
      <c r="G71" s="5">
        <v>216</v>
      </c>
      <c r="H71" s="5">
        <v>2143</v>
      </c>
      <c r="I71" s="5">
        <v>1545</v>
      </c>
      <c r="J71" s="5">
        <v>2120</v>
      </c>
      <c r="K71" s="5">
        <v>11982</v>
      </c>
      <c r="L71" s="5">
        <v>97673</v>
      </c>
      <c r="M71" s="5">
        <v>23771</v>
      </c>
      <c r="N71" s="5">
        <v>66747</v>
      </c>
      <c r="O71" s="5">
        <v>7155</v>
      </c>
      <c r="P71"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228268</v>
      </c>
      <c r="Q71"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227670</v>
      </c>
    </row>
    <row r="72" spans="1:17" x14ac:dyDescent="0.25">
      <c r="A72" s="4" t="s">
        <v>81</v>
      </c>
      <c r="B72" s="4" t="s">
        <v>100</v>
      </c>
      <c r="C72" s="4" t="s">
        <v>109</v>
      </c>
      <c r="D72" s="4" t="s">
        <v>45</v>
      </c>
      <c r="E72" s="5">
        <v>4668960</v>
      </c>
      <c r="F72" s="5">
        <v>25202</v>
      </c>
      <c r="G72" s="5">
        <v>492</v>
      </c>
      <c r="H72" s="5">
        <v>1733</v>
      </c>
      <c r="I72" s="5">
        <v>1246</v>
      </c>
      <c r="J72" s="5">
        <v>5561</v>
      </c>
      <c r="K72" s="5">
        <v>17416</v>
      </c>
      <c r="L72" s="5">
        <v>157708</v>
      </c>
      <c r="M72" s="5">
        <v>35457</v>
      </c>
      <c r="N72" s="5">
        <v>112520</v>
      </c>
      <c r="O72" s="5">
        <v>9731</v>
      </c>
      <c r="P72"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365820</v>
      </c>
      <c r="Q72"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365333</v>
      </c>
    </row>
    <row r="73" spans="1:17" x14ac:dyDescent="0.25">
      <c r="A73" s="4" t="s">
        <v>81</v>
      </c>
      <c r="B73" s="4" t="s">
        <v>100</v>
      </c>
      <c r="C73" s="4" t="s">
        <v>109</v>
      </c>
      <c r="D73" s="4" t="s">
        <v>46</v>
      </c>
      <c r="E73" s="5">
        <v>4681666</v>
      </c>
      <c r="F73" s="5">
        <v>26502</v>
      </c>
      <c r="G73" s="5">
        <v>554</v>
      </c>
      <c r="H73" s="5">
        <v>1816</v>
      </c>
      <c r="I73" s="5">
        <v>1328</v>
      </c>
      <c r="J73" s="5">
        <v>5576</v>
      </c>
      <c r="K73" s="5">
        <v>18556</v>
      </c>
      <c r="L73" s="5">
        <v>154386</v>
      </c>
      <c r="M73" s="5">
        <v>34667</v>
      </c>
      <c r="N73" s="5">
        <v>109380</v>
      </c>
      <c r="O73" s="5">
        <v>10339</v>
      </c>
      <c r="P73"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361776</v>
      </c>
      <c r="Q73"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361288</v>
      </c>
    </row>
    <row r="74" spans="1:17" x14ac:dyDescent="0.25">
      <c r="A74" s="4" t="s">
        <v>82</v>
      </c>
      <c r="B74" s="4" t="s">
        <v>100</v>
      </c>
      <c r="C74" s="4" t="s">
        <v>109</v>
      </c>
      <c r="D74" s="4" t="s">
        <v>45</v>
      </c>
      <c r="E74" s="5">
        <v>3907414</v>
      </c>
      <c r="F74" s="5">
        <v>16746</v>
      </c>
      <c r="G74" s="5">
        <v>240</v>
      </c>
      <c r="H74" s="5">
        <v>1953</v>
      </c>
      <c r="I74" s="5">
        <v>1418</v>
      </c>
      <c r="J74" s="5">
        <v>3018</v>
      </c>
      <c r="K74" s="5">
        <v>11535</v>
      </c>
      <c r="L74" s="5">
        <v>114055</v>
      </c>
      <c r="M74" s="5">
        <v>28783</v>
      </c>
      <c r="N74" s="5">
        <v>74678</v>
      </c>
      <c r="O74" s="5">
        <v>10594</v>
      </c>
      <c r="P74"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261602</v>
      </c>
      <c r="Q74"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261067</v>
      </c>
    </row>
    <row r="75" spans="1:17" x14ac:dyDescent="0.25">
      <c r="A75" s="4" t="s">
        <v>82</v>
      </c>
      <c r="B75" s="4" t="s">
        <v>100</v>
      </c>
      <c r="C75" s="4" t="s">
        <v>109</v>
      </c>
      <c r="D75" s="4" t="s">
        <v>46</v>
      </c>
      <c r="E75" s="5">
        <v>3923561</v>
      </c>
      <c r="F75" s="5">
        <v>17648</v>
      </c>
      <c r="G75" s="5">
        <v>245</v>
      </c>
      <c r="H75" s="5">
        <v>2039</v>
      </c>
      <c r="I75" s="5">
        <v>1509</v>
      </c>
      <c r="J75" s="5">
        <v>3162</v>
      </c>
      <c r="K75" s="5">
        <v>12202</v>
      </c>
      <c r="L75" s="5">
        <v>117037</v>
      </c>
      <c r="M75" s="5">
        <v>29103</v>
      </c>
      <c r="N75" s="5">
        <v>75779</v>
      </c>
      <c r="O75" s="5">
        <v>12155</v>
      </c>
      <c r="P75"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269370</v>
      </c>
      <c r="Q75"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268840</v>
      </c>
    </row>
    <row r="76" spans="1:17" x14ac:dyDescent="0.25">
      <c r="A76" s="4" t="s">
        <v>83</v>
      </c>
      <c r="B76" s="4" t="s">
        <v>100</v>
      </c>
      <c r="C76" s="4" t="s">
        <v>109</v>
      </c>
      <c r="D76" s="4" t="s">
        <v>45</v>
      </c>
      <c r="E76" s="5">
        <v>27429639</v>
      </c>
      <c r="F76" s="5">
        <v>113193</v>
      </c>
      <c r="G76" s="5">
        <v>1317</v>
      </c>
      <c r="H76" s="5">
        <v>12323</v>
      </c>
      <c r="I76" s="5">
        <v>8941</v>
      </c>
      <c r="J76" s="5">
        <v>31924</v>
      </c>
      <c r="K76" s="5">
        <v>67629</v>
      </c>
      <c r="L76" s="5">
        <v>779234</v>
      </c>
      <c r="M76" s="5">
        <v>153067</v>
      </c>
      <c r="N76" s="5">
        <v>558653</v>
      </c>
      <c r="O76" s="5">
        <v>67514</v>
      </c>
      <c r="P76"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1784854</v>
      </c>
      <c r="Q76"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1781472</v>
      </c>
    </row>
    <row r="77" spans="1:17" x14ac:dyDescent="0.25">
      <c r="A77" s="4" t="s">
        <v>83</v>
      </c>
      <c r="B77" s="4" t="s">
        <v>100</v>
      </c>
      <c r="C77" s="4" t="s">
        <v>109</v>
      </c>
      <c r="D77" s="4" t="s">
        <v>46</v>
      </c>
      <c r="E77" s="5">
        <v>27862596</v>
      </c>
      <c r="F77" s="5">
        <v>121042</v>
      </c>
      <c r="G77" s="5">
        <v>1478</v>
      </c>
      <c r="H77" s="5">
        <v>13367</v>
      </c>
      <c r="I77" s="5">
        <v>9858</v>
      </c>
      <c r="J77" s="5">
        <v>33317</v>
      </c>
      <c r="K77" s="5">
        <v>72880</v>
      </c>
      <c r="L77" s="5">
        <v>768947</v>
      </c>
      <c r="M77" s="5">
        <v>148740</v>
      </c>
      <c r="N77" s="5">
        <v>551151</v>
      </c>
      <c r="O77" s="5">
        <v>69056</v>
      </c>
      <c r="P77"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1779978</v>
      </c>
      <c r="Q77"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1776469</v>
      </c>
    </row>
    <row r="78" spans="1:17" x14ac:dyDescent="0.25">
      <c r="A78" s="4" t="s">
        <v>84</v>
      </c>
      <c r="B78" s="4" t="s">
        <v>101</v>
      </c>
      <c r="C78" s="4" t="s">
        <v>110</v>
      </c>
      <c r="D78" s="4" t="s">
        <v>45</v>
      </c>
      <c r="E78" s="5">
        <v>6817565</v>
      </c>
      <c r="F78" s="5">
        <v>27968</v>
      </c>
      <c r="G78" s="5">
        <v>306</v>
      </c>
      <c r="H78" s="5">
        <v>3109</v>
      </c>
      <c r="I78" s="5">
        <v>2268</v>
      </c>
      <c r="J78" s="5">
        <v>6360</v>
      </c>
      <c r="K78" s="5">
        <v>18193</v>
      </c>
      <c r="L78" s="5">
        <v>207184</v>
      </c>
      <c r="M78" s="5">
        <v>38010</v>
      </c>
      <c r="N78" s="5">
        <v>152388</v>
      </c>
      <c r="O78" s="5">
        <v>16786</v>
      </c>
      <c r="P78"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470304</v>
      </c>
      <c r="Q78"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469463</v>
      </c>
    </row>
    <row r="79" spans="1:17" x14ac:dyDescent="0.25">
      <c r="A79" s="4" t="s">
        <v>84</v>
      </c>
      <c r="B79" s="4" t="s">
        <v>101</v>
      </c>
      <c r="C79" s="4" t="s">
        <v>110</v>
      </c>
      <c r="D79" s="4" t="s">
        <v>46</v>
      </c>
      <c r="E79" s="5">
        <v>6931071</v>
      </c>
      <c r="F79" s="5">
        <v>32583</v>
      </c>
      <c r="G79" s="5">
        <v>380</v>
      </c>
      <c r="H79" s="5">
        <v>3290</v>
      </c>
      <c r="I79" s="5">
        <v>2452</v>
      </c>
      <c r="J79" s="5">
        <v>7055</v>
      </c>
      <c r="K79" s="5">
        <v>21858</v>
      </c>
      <c r="L79" s="5">
        <v>206432</v>
      </c>
      <c r="M79" s="5">
        <v>37736</v>
      </c>
      <c r="N79" s="5">
        <v>150275</v>
      </c>
      <c r="O79" s="5">
        <v>18421</v>
      </c>
      <c r="P79"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478030</v>
      </c>
      <c r="Q79"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477192</v>
      </c>
    </row>
    <row r="80" spans="1:17" x14ac:dyDescent="0.25">
      <c r="A80" s="4" t="s">
        <v>85</v>
      </c>
      <c r="B80" s="4" t="s">
        <v>101</v>
      </c>
      <c r="C80" s="4" t="s">
        <v>110</v>
      </c>
      <c r="D80" s="4" t="s">
        <v>45</v>
      </c>
      <c r="E80" s="5">
        <v>5448819</v>
      </c>
      <c r="F80" s="5">
        <v>17348</v>
      </c>
      <c r="G80" s="5">
        <v>173</v>
      </c>
      <c r="H80" s="5">
        <v>3328</v>
      </c>
      <c r="I80" s="5">
        <v>2422</v>
      </c>
      <c r="J80" s="5">
        <v>3315</v>
      </c>
      <c r="K80" s="5">
        <v>10532</v>
      </c>
      <c r="L80" s="5">
        <v>144044</v>
      </c>
      <c r="M80" s="5">
        <v>23490</v>
      </c>
      <c r="N80" s="5">
        <v>104532</v>
      </c>
      <c r="O80" s="5">
        <v>16022</v>
      </c>
      <c r="P80"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322784</v>
      </c>
      <c r="Q80"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321878</v>
      </c>
    </row>
    <row r="81" spans="1:17" x14ac:dyDescent="0.25">
      <c r="A81" s="4" t="s">
        <v>85</v>
      </c>
      <c r="B81" s="4" t="s">
        <v>101</v>
      </c>
      <c r="C81" s="4" t="s">
        <v>110</v>
      </c>
      <c r="D81" s="4" t="s">
        <v>46</v>
      </c>
      <c r="E81" s="5">
        <v>5540545</v>
      </c>
      <c r="F81" s="5">
        <v>18983</v>
      </c>
      <c r="G81" s="5">
        <v>204</v>
      </c>
      <c r="H81" s="5">
        <v>3555</v>
      </c>
      <c r="I81" s="5">
        <v>2619</v>
      </c>
      <c r="J81" s="5">
        <v>3528</v>
      </c>
      <c r="K81" s="5">
        <v>11696</v>
      </c>
      <c r="L81" s="5">
        <v>151850</v>
      </c>
      <c r="M81" s="5">
        <v>23903</v>
      </c>
      <c r="N81" s="5">
        <v>108336</v>
      </c>
      <c r="O81" s="5">
        <v>19611</v>
      </c>
      <c r="P81"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341666</v>
      </c>
      <c r="Q81"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340730</v>
      </c>
    </row>
    <row r="82" spans="1:17" x14ac:dyDescent="0.25">
      <c r="A82" s="4" t="s">
        <v>86</v>
      </c>
      <c r="B82" s="4" t="s">
        <v>101</v>
      </c>
      <c r="C82" s="4" t="s">
        <v>110</v>
      </c>
      <c r="D82" s="4" t="s">
        <v>45</v>
      </c>
      <c r="E82" s="5">
        <v>1652828</v>
      </c>
      <c r="F82" s="5">
        <v>3593</v>
      </c>
      <c r="G82" s="5">
        <v>32</v>
      </c>
      <c r="H82" s="5">
        <v>703</v>
      </c>
      <c r="I82" s="5">
        <v>508</v>
      </c>
      <c r="J82" s="5">
        <v>191</v>
      </c>
      <c r="K82" s="5">
        <v>2667</v>
      </c>
      <c r="L82" s="5">
        <v>28912</v>
      </c>
      <c r="M82" s="5">
        <v>6124</v>
      </c>
      <c r="N82" s="5">
        <v>20916</v>
      </c>
      <c r="O82" s="5">
        <v>1872</v>
      </c>
      <c r="P82"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65010</v>
      </c>
      <c r="Q82"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64815</v>
      </c>
    </row>
    <row r="83" spans="1:17" x14ac:dyDescent="0.25">
      <c r="A83" s="4" t="s">
        <v>86</v>
      </c>
      <c r="B83" s="4" t="s">
        <v>101</v>
      </c>
      <c r="C83" s="4" t="s">
        <v>110</v>
      </c>
      <c r="D83" s="4" t="s">
        <v>46</v>
      </c>
      <c r="E83" s="5">
        <v>1683140</v>
      </c>
      <c r="F83" s="5">
        <v>3876</v>
      </c>
      <c r="G83" s="5">
        <v>49</v>
      </c>
      <c r="H83" s="5">
        <v>719</v>
      </c>
      <c r="I83" s="5">
        <v>529</v>
      </c>
      <c r="J83" s="5">
        <v>213</v>
      </c>
      <c r="K83" s="5">
        <v>2895</v>
      </c>
      <c r="L83" s="5">
        <v>29357</v>
      </c>
      <c r="M83" s="5">
        <v>6318</v>
      </c>
      <c r="N83" s="5">
        <v>20962</v>
      </c>
      <c r="O83" s="5">
        <v>2077</v>
      </c>
      <c r="P83"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66466</v>
      </c>
      <c r="Q83"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66276</v>
      </c>
    </row>
    <row r="84" spans="1:17" x14ac:dyDescent="0.25">
      <c r="A84" s="4" t="s">
        <v>87</v>
      </c>
      <c r="B84" s="4" t="s">
        <v>101</v>
      </c>
      <c r="C84" s="4" t="s">
        <v>110</v>
      </c>
      <c r="D84" s="4" t="s">
        <v>45</v>
      </c>
      <c r="E84" s="5">
        <v>1032073</v>
      </c>
      <c r="F84" s="5">
        <v>3647</v>
      </c>
      <c r="G84" s="5">
        <v>38</v>
      </c>
      <c r="H84" s="5">
        <v>572</v>
      </c>
      <c r="I84" s="5">
        <v>405</v>
      </c>
      <c r="J84" s="5">
        <v>210</v>
      </c>
      <c r="K84" s="5">
        <v>2827</v>
      </c>
      <c r="L84" s="5">
        <v>27276</v>
      </c>
      <c r="M84" s="5">
        <v>3887</v>
      </c>
      <c r="N84" s="5">
        <v>20966</v>
      </c>
      <c r="O84" s="5">
        <v>2423</v>
      </c>
      <c r="P84"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61846</v>
      </c>
      <c r="Q84"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61679</v>
      </c>
    </row>
    <row r="85" spans="1:17" x14ac:dyDescent="0.25">
      <c r="A85" s="4" t="s">
        <v>87</v>
      </c>
      <c r="B85" s="4" t="s">
        <v>101</v>
      </c>
      <c r="C85" s="4" t="s">
        <v>110</v>
      </c>
      <c r="D85" s="4" t="s">
        <v>46</v>
      </c>
      <c r="E85" s="5">
        <v>1042520</v>
      </c>
      <c r="F85" s="5">
        <v>3840</v>
      </c>
      <c r="G85" s="5">
        <v>36</v>
      </c>
      <c r="H85" s="5">
        <v>578</v>
      </c>
      <c r="I85" s="5">
        <v>414</v>
      </c>
      <c r="J85" s="5">
        <v>266</v>
      </c>
      <c r="K85" s="5">
        <v>2960</v>
      </c>
      <c r="L85" s="5">
        <v>27976</v>
      </c>
      <c r="M85" s="5">
        <v>3934</v>
      </c>
      <c r="N85" s="5">
        <v>21299</v>
      </c>
      <c r="O85" s="5">
        <v>2743</v>
      </c>
      <c r="P85"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63632</v>
      </c>
      <c r="Q85"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63468</v>
      </c>
    </row>
    <row r="86" spans="1:17" x14ac:dyDescent="0.25">
      <c r="A86" s="4" t="s">
        <v>88</v>
      </c>
      <c r="B86" s="4" t="s">
        <v>101</v>
      </c>
      <c r="C86" s="4" t="s">
        <v>110</v>
      </c>
      <c r="D86" s="4" t="s">
        <v>45</v>
      </c>
      <c r="E86" s="5">
        <v>2883758</v>
      </c>
      <c r="F86" s="5">
        <v>20118</v>
      </c>
      <c r="G86" s="5">
        <v>178</v>
      </c>
      <c r="H86" s="5">
        <v>1688</v>
      </c>
      <c r="I86" s="5">
        <v>1232</v>
      </c>
      <c r="J86" s="5">
        <v>6287</v>
      </c>
      <c r="K86" s="5">
        <v>11965</v>
      </c>
      <c r="L86" s="5">
        <v>77137</v>
      </c>
      <c r="M86" s="5">
        <v>22360</v>
      </c>
      <c r="N86" s="5">
        <v>43426</v>
      </c>
      <c r="O86" s="5">
        <v>11351</v>
      </c>
      <c r="P86"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194510</v>
      </c>
      <c r="Q86"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194054</v>
      </c>
    </row>
    <row r="87" spans="1:17" x14ac:dyDescent="0.25">
      <c r="A87" s="4" t="s">
        <v>88</v>
      </c>
      <c r="B87" s="4" t="s">
        <v>101</v>
      </c>
      <c r="C87" s="4" t="s">
        <v>110</v>
      </c>
      <c r="D87" s="4" t="s">
        <v>46</v>
      </c>
      <c r="E87" s="5">
        <v>2940058</v>
      </c>
      <c r="F87" s="5">
        <v>19936</v>
      </c>
      <c r="G87" s="5">
        <v>224</v>
      </c>
      <c r="H87" s="5">
        <v>1733</v>
      </c>
      <c r="I87" s="5">
        <v>1292</v>
      </c>
      <c r="J87" s="5">
        <v>6340</v>
      </c>
      <c r="K87" s="5">
        <v>11639</v>
      </c>
      <c r="L87" s="5">
        <v>76047</v>
      </c>
      <c r="M87" s="5">
        <v>18850</v>
      </c>
      <c r="N87" s="5">
        <v>44017</v>
      </c>
      <c r="O87" s="5">
        <v>13180</v>
      </c>
      <c r="P87"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191966</v>
      </c>
      <c r="Q87"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191525</v>
      </c>
    </row>
    <row r="88" spans="1:17" x14ac:dyDescent="0.25">
      <c r="A88" s="4" t="s">
        <v>89</v>
      </c>
      <c r="B88" s="4" t="s">
        <v>101</v>
      </c>
      <c r="C88" s="4" t="s">
        <v>110</v>
      </c>
      <c r="D88" s="4" t="s">
        <v>45</v>
      </c>
      <c r="E88" s="5">
        <v>2080328</v>
      </c>
      <c r="F88" s="5">
        <v>13672</v>
      </c>
      <c r="G88" s="5">
        <v>117</v>
      </c>
      <c r="H88" s="5">
        <v>1663</v>
      </c>
      <c r="I88" s="5">
        <v>1218</v>
      </c>
      <c r="J88" s="5">
        <v>2485</v>
      </c>
      <c r="K88" s="5">
        <v>9407</v>
      </c>
      <c r="L88" s="5">
        <v>77212</v>
      </c>
      <c r="M88" s="5">
        <v>17084</v>
      </c>
      <c r="N88" s="5">
        <v>51485</v>
      </c>
      <c r="O88" s="5">
        <v>8643</v>
      </c>
      <c r="P88"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181768</v>
      </c>
      <c r="Q88"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181323</v>
      </c>
    </row>
    <row r="89" spans="1:17" x14ac:dyDescent="0.25">
      <c r="A89" s="4" t="s">
        <v>89</v>
      </c>
      <c r="B89" s="4" t="s">
        <v>101</v>
      </c>
      <c r="C89" s="4" t="s">
        <v>110</v>
      </c>
      <c r="D89" s="4" t="s">
        <v>46</v>
      </c>
      <c r="E89" s="5">
        <v>2081015</v>
      </c>
      <c r="F89" s="5">
        <v>14619</v>
      </c>
      <c r="G89" s="5">
        <v>139</v>
      </c>
      <c r="H89" s="5">
        <v>1526</v>
      </c>
      <c r="I89" s="5">
        <v>1117</v>
      </c>
      <c r="J89" s="5">
        <v>2737</v>
      </c>
      <c r="K89" s="5">
        <v>10217</v>
      </c>
      <c r="L89" s="5">
        <v>81931</v>
      </c>
      <c r="M89" s="5">
        <v>17281</v>
      </c>
      <c r="N89" s="5">
        <v>52907</v>
      </c>
      <c r="O89" s="5">
        <v>11743</v>
      </c>
      <c r="P89"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193100</v>
      </c>
      <c r="Q89"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192691</v>
      </c>
    </row>
    <row r="90" spans="1:17" x14ac:dyDescent="0.25">
      <c r="A90" s="4" t="s">
        <v>90</v>
      </c>
      <c r="B90" s="4" t="s">
        <v>101</v>
      </c>
      <c r="C90" s="4" t="s">
        <v>110</v>
      </c>
      <c r="D90" s="4" t="s">
        <v>45</v>
      </c>
      <c r="E90" s="5">
        <v>2990632</v>
      </c>
      <c r="F90" s="5">
        <v>7138</v>
      </c>
      <c r="G90" s="5">
        <v>57</v>
      </c>
      <c r="H90" s="5">
        <v>1704</v>
      </c>
      <c r="I90" s="5">
        <v>1247</v>
      </c>
      <c r="J90" s="5">
        <v>1329</v>
      </c>
      <c r="K90" s="5">
        <v>4048</v>
      </c>
      <c r="L90" s="5">
        <v>89797</v>
      </c>
      <c r="M90" s="5">
        <v>12606</v>
      </c>
      <c r="N90" s="5">
        <v>68464</v>
      </c>
      <c r="O90" s="5">
        <v>8727</v>
      </c>
      <c r="P90"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193870</v>
      </c>
      <c r="Q90"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193413</v>
      </c>
    </row>
    <row r="91" spans="1:17" x14ac:dyDescent="0.25">
      <c r="A91" s="4" t="s">
        <v>90</v>
      </c>
      <c r="B91" s="4" t="s">
        <v>101</v>
      </c>
      <c r="C91" s="4" t="s">
        <v>110</v>
      </c>
      <c r="D91" s="4" t="s">
        <v>46</v>
      </c>
      <c r="E91" s="5">
        <v>3051217</v>
      </c>
      <c r="F91" s="5">
        <v>7407</v>
      </c>
      <c r="G91" s="5">
        <v>72</v>
      </c>
      <c r="H91" s="5">
        <v>1520</v>
      </c>
      <c r="I91" s="5">
        <v>1116</v>
      </c>
      <c r="J91" s="5">
        <v>1541</v>
      </c>
      <c r="K91" s="5">
        <v>4274</v>
      </c>
      <c r="L91" s="5">
        <v>90058</v>
      </c>
      <c r="M91" s="5">
        <v>12836</v>
      </c>
      <c r="N91" s="5">
        <v>67834</v>
      </c>
      <c r="O91" s="5">
        <v>9388</v>
      </c>
      <c r="P91"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194930</v>
      </c>
      <c r="Q91"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194526</v>
      </c>
    </row>
    <row r="92" spans="1:17" x14ac:dyDescent="0.25">
      <c r="A92" s="4" t="s">
        <v>91</v>
      </c>
      <c r="B92" s="4" t="s">
        <v>101</v>
      </c>
      <c r="C92" s="4" t="s">
        <v>110</v>
      </c>
      <c r="D92" s="4" t="s">
        <v>45</v>
      </c>
      <c r="E92" s="5">
        <v>586555</v>
      </c>
      <c r="F92" s="5">
        <v>1300</v>
      </c>
      <c r="G92" s="5">
        <v>16</v>
      </c>
      <c r="H92" s="5">
        <v>171</v>
      </c>
      <c r="I92" s="5">
        <v>124</v>
      </c>
      <c r="J92" s="5">
        <v>59</v>
      </c>
      <c r="K92" s="5">
        <v>1054</v>
      </c>
      <c r="L92" s="5">
        <v>11151</v>
      </c>
      <c r="M92" s="5">
        <v>1762</v>
      </c>
      <c r="N92" s="5">
        <v>8797</v>
      </c>
      <c r="O92" s="5">
        <v>592</v>
      </c>
      <c r="P92"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24902</v>
      </c>
      <c r="Q92"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24855</v>
      </c>
    </row>
    <row r="93" spans="1:17" x14ac:dyDescent="0.25">
      <c r="A93" s="4" t="s">
        <v>91</v>
      </c>
      <c r="B93" s="4" t="s">
        <v>101</v>
      </c>
      <c r="C93" s="4" t="s">
        <v>110</v>
      </c>
      <c r="D93" s="4" t="s">
        <v>46</v>
      </c>
      <c r="E93" s="5">
        <v>585501</v>
      </c>
      <c r="F93" s="5">
        <v>1430</v>
      </c>
      <c r="G93" s="5">
        <v>20</v>
      </c>
      <c r="H93" s="5">
        <v>205</v>
      </c>
      <c r="I93" s="5">
        <v>150</v>
      </c>
      <c r="J93" s="5">
        <v>59</v>
      </c>
      <c r="K93" s="5">
        <v>1146</v>
      </c>
      <c r="L93" s="5">
        <v>11460</v>
      </c>
      <c r="M93" s="5">
        <v>1771</v>
      </c>
      <c r="N93" s="5">
        <v>8889</v>
      </c>
      <c r="O93" s="5">
        <v>800</v>
      </c>
      <c r="P93"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25780</v>
      </c>
      <c r="Q93"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25725</v>
      </c>
    </row>
    <row r="94" spans="1:17" x14ac:dyDescent="0.25">
      <c r="A94" s="4" t="s">
        <v>92</v>
      </c>
      <c r="B94" s="4" t="s">
        <v>101</v>
      </c>
      <c r="C94" s="4" t="s">
        <v>111</v>
      </c>
      <c r="D94" s="4" t="s">
        <v>45</v>
      </c>
      <c r="E94" s="5">
        <v>737709</v>
      </c>
      <c r="F94" s="5">
        <v>5391</v>
      </c>
      <c r="G94" s="5">
        <v>59</v>
      </c>
      <c r="H94" s="5">
        <v>900</v>
      </c>
      <c r="I94" s="5">
        <v>648</v>
      </c>
      <c r="J94" s="5">
        <v>761</v>
      </c>
      <c r="K94" s="5">
        <v>3671</v>
      </c>
      <c r="L94" s="5">
        <v>20806</v>
      </c>
      <c r="M94" s="5">
        <v>3511</v>
      </c>
      <c r="N94" s="5">
        <v>15249</v>
      </c>
      <c r="O94" s="5">
        <v>2046</v>
      </c>
      <c r="P94"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52394</v>
      </c>
      <c r="Q94"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52142</v>
      </c>
    </row>
    <row r="95" spans="1:17" x14ac:dyDescent="0.25">
      <c r="A95" s="4" t="s">
        <v>92</v>
      </c>
      <c r="B95" s="4" t="s">
        <v>101</v>
      </c>
      <c r="C95" s="4" t="s">
        <v>111</v>
      </c>
      <c r="D95" s="4" t="s">
        <v>46</v>
      </c>
      <c r="E95" s="5">
        <v>741894</v>
      </c>
      <c r="F95" s="5">
        <v>5966</v>
      </c>
      <c r="G95" s="5">
        <v>52</v>
      </c>
      <c r="H95" s="5">
        <v>1053</v>
      </c>
      <c r="I95" s="5">
        <v>757</v>
      </c>
      <c r="J95" s="5">
        <v>850</v>
      </c>
      <c r="K95" s="5">
        <v>4011</v>
      </c>
      <c r="L95" s="5">
        <v>24876</v>
      </c>
      <c r="M95" s="5">
        <v>4053</v>
      </c>
      <c r="N95" s="5">
        <v>17766</v>
      </c>
      <c r="O95" s="5">
        <v>3057</v>
      </c>
      <c r="P95"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61684</v>
      </c>
      <c r="Q95"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61388</v>
      </c>
    </row>
    <row r="96" spans="1:17" x14ac:dyDescent="0.25">
      <c r="A96" s="4" t="s">
        <v>93</v>
      </c>
      <c r="B96" s="4" t="s">
        <v>101</v>
      </c>
      <c r="C96" s="4" t="s">
        <v>111</v>
      </c>
      <c r="D96" s="4" t="s">
        <v>45</v>
      </c>
      <c r="E96" s="5">
        <v>38993940</v>
      </c>
      <c r="F96" s="5">
        <v>166883</v>
      </c>
      <c r="G96" s="5">
        <v>1861</v>
      </c>
      <c r="H96" s="5">
        <v>12811</v>
      </c>
      <c r="I96" s="5">
        <v>9341</v>
      </c>
      <c r="J96" s="5">
        <v>52862</v>
      </c>
      <c r="K96" s="5">
        <v>99349</v>
      </c>
      <c r="L96" s="5">
        <v>1024914</v>
      </c>
      <c r="M96" s="5">
        <v>197404</v>
      </c>
      <c r="N96" s="5">
        <v>656517</v>
      </c>
      <c r="O96" s="5">
        <v>170993</v>
      </c>
      <c r="P96"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2383594</v>
      </c>
      <c r="Q96"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2380124</v>
      </c>
    </row>
    <row r="97" spans="1:17" x14ac:dyDescent="0.25">
      <c r="A97" s="4" t="s">
        <v>93</v>
      </c>
      <c r="B97" s="4" t="s">
        <v>101</v>
      </c>
      <c r="C97" s="4" t="s">
        <v>111</v>
      </c>
      <c r="D97" s="4" t="s">
        <v>46</v>
      </c>
      <c r="E97" s="5">
        <v>39250017</v>
      </c>
      <c r="F97" s="5">
        <v>174796</v>
      </c>
      <c r="G97" s="5">
        <v>1930</v>
      </c>
      <c r="H97" s="5">
        <v>13702</v>
      </c>
      <c r="I97" s="5">
        <v>10149</v>
      </c>
      <c r="J97" s="5">
        <v>54789</v>
      </c>
      <c r="K97" s="5">
        <v>104375</v>
      </c>
      <c r="L97" s="5">
        <v>1002070</v>
      </c>
      <c r="M97" s="5">
        <v>188304</v>
      </c>
      <c r="N97" s="5">
        <v>637010</v>
      </c>
      <c r="O97" s="5">
        <v>176756</v>
      </c>
      <c r="P97"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2353732</v>
      </c>
      <c r="Q97"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2350179</v>
      </c>
    </row>
    <row r="98" spans="1:17" x14ac:dyDescent="0.25">
      <c r="A98" s="4" t="s">
        <v>94</v>
      </c>
      <c r="B98" s="4" t="s">
        <v>101</v>
      </c>
      <c r="C98" s="4" t="s">
        <v>111</v>
      </c>
      <c r="D98" s="4" t="s">
        <v>45</v>
      </c>
      <c r="E98" s="5">
        <v>1425157</v>
      </c>
      <c r="F98" s="5">
        <v>3530</v>
      </c>
      <c r="G98" s="5">
        <v>29</v>
      </c>
      <c r="H98" s="5">
        <v>538</v>
      </c>
      <c r="I98" s="5">
        <v>382</v>
      </c>
      <c r="J98" s="5">
        <v>1085</v>
      </c>
      <c r="K98" s="5">
        <v>1878</v>
      </c>
      <c r="L98" s="5">
        <v>45389</v>
      </c>
      <c r="M98" s="5">
        <v>6810</v>
      </c>
      <c r="N98" s="5">
        <v>33140</v>
      </c>
      <c r="O98" s="5">
        <v>5439</v>
      </c>
      <c r="P98"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97838</v>
      </c>
      <c r="Q98"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97682</v>
      </c>
    </row>
    <row r="99" spans="1:17" x14ac:dyDescent="0.25">
      <c r="A99" s="4" t="s">
        <v>94</v>
      </c>
      <c r="B99" s="4" t="s">
        <v>101</v>
      </c>
      <c r="C99" s="4" t="s">
        <v>111</v>
      </c>
      <c r="D99" s="4" t="s">
        <v>46</v>
      </c>
      <c r="E99" s="5">
        <v>1428557</v>
      </c>
      <c r="F99" s="5">
        <v>4417</v>
      </c>
      <c r="G99" s="5">
        <v>35</v>
      </c>
      <c r="H99" s="5">
        <v>619</v>
      </c>
      <c r="I99" s="5">
        <v>447</v>
      </c>
      <c r="J99" s="5">
        <v>994</v>
      </c>
      <c r="K99" s="5">
        <v>2769</v>
      </c>
      <c r="L99" s="5">
        <v>42753</v>
      </c>
      <c r="M99" s="5">
        <v>6017</v>
      </c>
      <c r="N99" s="5">
        <v>31082</v>
      </c>
      <c r="O99" s="5">
        <v>5654</v>
      </c>
      <c r="P99"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94340</v>
      </c>
      <c r="Q99"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94168</v>
      </c>
    </row>
    <row r="100" spans="1:17" x14ac:dyDescent="0.25">
      <c r="A100" s="4" t="s">
        <v>95</v>
      </c>
      <c r="B100" s="4" t="s">
        <v>101</v>
      </c>
      <c r="C100" s="4" t="s">
        <v>111</v>
      </c>
      <c r="D100" s="4" t="s">
        <v>45</v>
      </c>
      <c r="E100" s="5">
        <v>4024634</v>
      </c>
      <c r="F100" s="5">
        <v>10680</v>
      </c>
      <c r="G100" s="5">
        <v>110</v>
      </c>
      <c r="H100" s="5">
        <v>1650</v>
      </c>
      <c r="I100" s="5">
        <v>1193</v>
      </c>
      <c r="J100" s="5">
        <v>2163</v>
      </c>
      <c r="K100" s="5">
        <v>6757</v>
      </c>
      <c r="L100" s="5">
        <v>119752</v>
      </c>
      <c r="M100" s="5">
        <v>18541</v>
      </c>
      <c r="N100" s="5">
        <v>90514</v>
      </c>
      <c r="O100" s="5">
        <v>10697</v>
      </c>
      <c r="P100"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260864</v>
      </c>
      <c r="Q100"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260407</v>
      </c>
    </row>
    <row r="101" spans="1:17" x14ac:dyDescent="0.25">
      <c r="A101" s="4" t="s">
        <v>95</v>
      </c>
      <c r="B101" s="4" t="s">
        <v>101</v>
      </c>
      <c r="C101" s="4" t="s">
        <v>111</v>
      </c>
      <c r="D101" s="4" t="s">
        <v>46</v>
      </c>
      <c r="E101" s="5">
        <v>4093465</v>
      </c>
      <c r="F101" s="5">
        <v>10830</v>
      </c>
      <c r="G101" s="5">
        <v>113</v>
      </c>
      <c r="H101" s="5">
        <v>1721</v>
      </c>
      <c r="I101" s="5">
        <v>1261</v>
      </c>
      <c r="J101" s="5">
        <v>2278</v>
      </c>
      <c r="K101" s="5">
        <v>6718</v>
      </c>
      <c r="L101" s="5">
        <v>121345</v>
      </c>
      <c r="M101" s="5">
        <v>16866</v>
      </c>
      <c r="N101" s="5">
        <v>91286</v>
      </c>
      <c r="O101" s="5">
        <v>13193</v>
      </c>
      <c r="P101"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264350</v>
      </c>
      <c r="Q101"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263890</v>
      </c>
    </row>
    <row r="102" spans="1:17" x14ac:dyDescent="0.25">
      <c r="A102" s="4" t="s">
        <v>96</v>
      </c>
      <c r="B102" s="4" t="s">
        <v>101</v>
      </c>
      <c r="C102" s="4" t="s">
        <v>111</v>
      </c>
      <c r="D102" s="4" t="s">
        <v>45</v>
      </c>
      <c r="E102" s="5">
        <v>7160290</v>
      </c>
      <c r="F102" s="5">
        <v>20505</v>
      </c>
      <c r="G102" s="5">
        <v>218</v>
      </c>
      <c r="H102" s="5">
        <v>2778</v>
      </c>
      <c r="I102" s="5">
        <v>2006</v>
      </c>
      <c r="J102" s="5">
        <v>5450</v>
      </c>
      <c r="K102" s="5">
        <v>12059</v>
      </c>
      <c r="L102" s="5">
        <v>249474</v>
      </c>
      <c r="M102" s="5">
        <v>51114</v>
      </c>
      <c r="N102" s="5">
        <v>171393</v>
      </c>
      <c r="O102" s="5">
        <v>26967</v>
      </c>
      <c r="P102"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539958</v>
      </c>
      <c r="Q102"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539186</v>
      </c>
    </row>
    <row r="103" spans="1:17" x14ac:dyDescent="0.25">
      <c r="A103" s="4" t="s">
        <v>96</v>
      </c>
      <c r="B103" s="4" t="s">
        <v>101</v>
      </c>
      <c r="C103" s="4" t="s">
        <v>111</v>
      </c>
      <c r="D103" s="4" t="s">
        <v>46</v>
      </c>
      <c r="E103" s="5">
        <v>7288000</v>
      </c>
      <c r="F103" s="5">
        <v>22023</v>
      </c>
      <c r="G103" s="5">
        <v>195</v>
      </c>
      <c r="H103" s="5">
        <v>3077</v>
      </c>
      <c r="I103" s="5">
        <v>2259</v>
      </c>
      <c r="J103" s="5">
        <v>5651</v>
      </c>
      <c r="K103" s="5">
        <v>13100</v>
      </c>
      <c r="L103" s="5">
        <v>254653</v>
      </c>
      <c r="M103" s="5">
        <v>49180</v>
      </c>
      <c r="N103" s="5">
        <v>173187</v>
      </c>
      <c r="O103" s="5">
        <v>32286</v>
      </c>
      <c r="P103"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553352</v>
      </c>
      <c r="Q103"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552534</v>
      </c>
    </row>
    <row r="104" spans="1:17" x14ac:dyDescent="0.25">
      <c r="A104" s="4" t="s">
        <v>97</v>
      </c>
      <c r="B104" s="4" t="s">
        <v>97</v>
      </c>
      <c r="C104" s="4" t="s">
        <v>97</v>
      </c>
      <c r="D104" s="4" t="s">
        <v>45</v>
      </c>
      <c r="E104" s="5">
        <v>3473181</v>
      </c>
      <c r="F104" s="5">
        <v>7629</v>
      </c>
      <c r="G104" s="5">
        <v>584</v>
      </c>
      <c r="H104" s="5">
        <v>165</v>
      </c>
      <c r="I104" s="5">
        <v>123</v>
      </c>
      <c r="J104" s="5">
        <v>4070</v>
      </c>
      <c r="K104" s="5">
        <v>2810</v>
      </c>
      <c r="L104" s="5">
        <v>37717</v>
      </c>
      <c r="M104" s="5">
        <v>9150</v>
      </c>
      <c r="N104" s="5">
        <v>24493</v>
      </c>
      <c r="O104" s="5">
        <v>4074</v>
      </c>
      <c r="P104"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90692</v>
      </c>
      <c r="Q104"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90650</v>
      </c>
    </row>
    <row r="105" spans="1:17" x14ac:dyDescent="0.25">
      <c r="A105" s="4" t="s">
        <v>97</v>
      </c>
      <c r="B105" s="4" t="s">
        <v>97</v>
      </c>
      <c r="C105" s="4" t="s">
        <v>97</v>
      </c>
      <c r="D105" s="4" t="s">
        <v>46</v>
      </c>
      <c r="E105" s="5">
        <v>3411307</v>
      </c>
      <c r="F105" s="5">
        <v>7643</v>
      </c>
      <c r="G105" s="5">
        <v>679</v>
      </c>
      <c r="H105" s="5">
        <v>169</v>
      </c>
      <c r="I105" s="5">
        <v>128</v>
      </c>
      <c r="J105" s="5">
        <v>3201</v>
      </c>
      <c r="K105" s="5">
        <v>3594</v>
      </c>
      <c r="L105" s="5">
        <v>35201</v>
      </c>
      <c r="M105" s="5">
        <v>8251</v>
      </c>
      <c r="N105" s="5">
        <v>23163</v>
      </c>
      <c r="O105" s="5">
        <v>3787</v>
      </c>
      <c r="P105" s="5">
        <f>CrimeGeo[[#This Row],[Violent crime]]+CrimeGeo[[#This Row],[Murder and  nonnegligent  manslaughter]]+CrimeGeo[[#This Row],[Rape (revised definition)]]+CrimeGeo[[#This Row],[Robbery]]+CrimeGeo[[#This Row],[Aggravated assault]]+CrimeGeo[[#This Row],[Property crime]]+CrimeGeo[[#This Row],[Burglary]]+CrimeGeo[[#This Row],[Larceny-theft]]+CrimeGeo[[#This Row],[Motor vehicle theft]]</f>
        <v>85688</v>
      </c>
      <c r="Q105" s="5">
        <f>CrimeGeo[[#This Row],[Violent crime]]+CrimeGeo[[#This Row],[Murder and  nonnegligent  manslaughter]]+CrimeGeo[[#This Row],[Rape (legacy definition)]]+CrimeGeo[[#This Row],[Robbery]]+CrimeGeo[[#This Row],[Aggravated assault]]+CrimeGeo[[#This Row],[Property crime]]+CrimeGeo[[#This Row],[Burglary]]+CrimeGeo[[#This Row],[Larceny-theft]]+CrimeGeo[[#This Row],[Motor vehicle theft]]</f>
        <v>85647</v>
      </c>
    </row>
    <row r="106" spans="1:17" x14ac:dyDescent="0.25">
      <c r="A106" t="s">
        <v>125</v>
      </c>
      <c r="P106" s="5">
        <f>SUBTOTAL(109,CrimeGeo[Total Crimes(rape revised)])</f>
        <v>37097162</v>
      </c>
      <c r="Q106" s="5">
        <f>SUBTOTAL(109,CrimeGeo[Total Crime(rape legacy)])</f>
        <v>37027333</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0DB6B-0FE7-4DC3-8C06-A9195D2D1CF7}">
  <sheetPr codeName="Sheet6"/>
  <dimension ref="A3:L103"/>
  <sheetViews>
    <sheetView topLeftCell="F16" workbookViewId="0">
      <selection activeCell="B100" sqref="B100"/>
    </sheetView>
  </sheetViews>
  <sheetFormatPr defaultRowHeight="15" x14ac:dyDescent="0.25"/>
  <cols>
    <col min="1" max="1" width="17.5703125" bestFit="1" customWidth="1"/>
    <col min="2" max="2" width="16.28515625" bestFit="1" customWidth="1"/>
    <col min="3" max="3" width="11.140625" bestFit="1" customWidth="1"/>
    <col min="4" max="4" width="11.28515625" bestFit="1" customWidth="1"/>
    <col min="5" max="5" width="29.28515625" bestFit="1" customWidth="1"/>
    <col min="6" max="6" width="15.140625" bestFit="1" customWidth="1"/>
    <col min="7" max="7" width="24.5703125" bestFit="1" customWidth="1"/>
    <col min="8" max="8" width="21" bestFit="1" customWidth="1"/>
    <col min="9" max="9" width="15" bestFit="1" customWidth="1"/>
    <col min="10" max="10" width="19.7109375" bestFit="1" customWidth="1"/>
    <col min="11" max="12" width="25.28515625" bestFit="1" customWidth="1"/>
    <col min="13" max="13" width="31.7109375" bestFit="1" customWidth="1"/>
    <col min="14" max="14" width="29.85546875" bestFit="1" customWidth="1"/>
  </cols>
  <sheetData>
    <row r="3" spans="1:11" x14ac:dyDescent="0.25">
      <c r="A3" s="2" t="s">
        <v>22</v>
      </c>
      <c r="B3" t="s">
        <v>114</v>
      </c>
      <c r="C3" t="s">
        <v>115</v>
      </c>
      <c r="D3" t="s">
        <v>116</v>
      </c>
      <c r="E3" t="s">
        <v>117</v>
      </c>
      <c r="F3" t="s">
        <v>25</v>
      </c>
      <c r="G3" t="s">
        <v>118</v>
      </c>
      <c r="H3" t="s">
        <v>119</v>
      </c>
      <c r="I3" t="s">
        <v>28</v>
      </c>
      <c r="J3" t="s">
        <v>120</v>
      </c>
      <c r="K3" t="s">
        <v>121</v>
      </c>
    </row>
    <row r="4" spans="1:11" x14ac:dyDescent="0.25">
      <c r="A4" s="3" t="s">
        <v>99</v>
      </c>
      <c r="B4" s="5">
        <v>500002</v>
      </c>
      <c r="C4" s="5">
        <v>7307</v>
      </c>
      <c r="D4" s="5">
        <v>62235</v>
      </c>
      <c r="E4" s="5">
        <v>45475</v>
      </c>
      <c r="F4" s="5">
        <v>126223</v>
      </c>
      <c r="G4" s="5">
        <v>304237</v>
      </c>
      <c r="H4" s="5">
        <v>3100047</v>
      </c>
      <c r="I4" s="5">
        <v>608212</v>
      </c>
      <c r="J4" s="5">
        <v>2238531</v>
      </c>
      <c r="K4" s="5">
        <v>253304</v>
      </c>
    </row>
    <row r="5" spans="1:11" x14ac:dyDescent="0.25">
      <c r="A5" s="3" t="s">
        <v>98</v>
      </c>
      <c r="B5" s="5">
        <v>358718</v>
      </c>
      <c r="C5" s="5">
        <v>3922</v>
      </c>
      <c r="D5" s="5">
        <v>33066</v>
      </c>
      <c r="E5" s="5">
        <v>24131</v>
      </c>
      <c r="F5" s="5">
        <v>109235</v>
      </c>
      <c r="G5" s="5">
        <v>212495</v>
      </c>
      <c r="H5" s="5">
        <v>1861837</v>
      </c>
      <c r="I5" s="5">
        <v>300630</v>
      </c>
      <c r="J5" s="5">
        <v>1446808</v>
      </c>
      <c r="K5" s="5">
        <v>114399</v>
      </c>
    </row>
    <row r="6" spans="1:11" x14ac:dyDescent="0.25">
      <c r="A6" s="3" t="s">
        <v>97</v>
      </c>
      <c r="B6" s="5">
        <v>15272</v>
      </c>
      <c r="C6" s="5">
        <v>1263</v>
      </c>
      <c r="D6" s="5">
        <v>334</v>
      </c>
      <c r="E6" s="5">
        <v>251</v>
      </c>
      <c r="F6" s="5">
        <v>7271</v>
      </c>
      <c r="G6" s="5">
        <v>6404</v>
      </c>
      <c r="H6" s="5">
        <v>72918</v>
      </c>
      <c r="I6" s="5">
        <v>17401</v>
      </c>
      <c r="J6" s="5">
        <v>47656</v>
      </c>
      <c r="K6" s="5">
        <v>7861</v>
      </c>
    </row>
    <row r="7" spans="1:11" x14ac:dyDescent="0.25">
      <c r="A7" s="3" t="s">
        <v>100</v>
      </c>
      <c r="B7" s="5">
        <v>1036042</v>
      </c>
      <c r="C7" s="5">
        <v>15261</v>
      </c>
      <c r="D7" s="5">
        <v>96523</v>
      </c>
      <c r="E7" s="5">
        <v>69829</v>
      </c>
      <c r="F7" s="5">
        <v>255991</v>
      </c>
      <c r="G7" s="5">
        <v>668267</v>
      </c>
      <c r="H7" s="5">
        <v>6737410</v>
      </c>
      <c r="I7" s="5">
        <v>1404066</v>
      </c>
      <c r="J7" s="5">
        <v>4813967</v>
      </c>
      <c r="K7" s="5">
        <v>519377</v>
      </c>
    </row>
    <row r="8" spans="1:11" x14ac:dyDescent="0.25">
      <c r="A8" s="3" t="s">
        <v>101</v>
      </c>
      <c r="B8" s="5">
        <v>622479</v>
      </c>
      <c r="C8" s="5">
        <v>6643</v>
      </c>
      <c r="D8" s="5">
        <v>64913</v>
      </c>
      <c r="E8" s="5">
        <v>47556</v>
      </c>
      <c r="F8" s="5">
        <v>168858</v>
      </c>
      <c r="G8" s="5">
        <v>382065</v>
      </c>
      <c r="H8" s="5">
        <v>4243856</v>
      </c>
      <c r="I8" s="5">
        <v>789752</v>
      </c>
      <c r="J8" s="5">
        <v>2862637</v>
      </c>
      <c r="K8" s="5">
        <v>591467</v>
      </c>
    </row>
    <row r="9" spans="1:11" x14ac:dyDescent="0.25">
      <c r="A9" s="3" t="s">
        <v>23</v>
      </c>
      <c r="B9" s="5">
        <v>2532513</v>
      </c>
      <c r="C9" s="5">
        <v>34396</v>
      </c>
      <c r="D9" s="5">
        <v>257071</v>
      </c>
      <c r="E9" s="5">
        <v>187242</v>
      </c>
      <c r="F9" s="5">
        <v>667578</v>
      </c>
      <c r="G9" s="5">
        <v>1573468</v>
      </c>
      <c r="H9" s="5">
        <v>16016068</v>
      </c>
      <c r="I9" s="5">
        <v>3120061</v>
      </c>
      <c r="J9" s="5">
        <v>11409599</v>
      </c>
      <c r="K9" s="5">
        <v>1486408</v>
      </c>
    </row>
    <row r="38" spans="3:12" x14ac:dyDescent="0.25">
      <c r="C38" s="2" t="s">
        <v>33</v>
      </c>
      <c r="D38" t="s">
        <v>113</v>
      </c>
    </row>
    <row r="40" spans="3:12" x14ac:dyDescent="0.25">
      <c r="C40" s="2" t="s">
        <v>22</v>
      </c>
      <c r="D40" t="s">
        <v>114</v>
      </c>
      <c r="E40" t="s">
        <v>115</v>
      </c>
      <c r="F40" t="s">
        <v>116</v>
      </c>
      <c r="G40" t="s">
        <v>25</v>
      </c>
      <c r="H40" t="s">
        <v>118</v>
      </c>
      <c r="I40" t="s">
        <v>119</v>
      </c>
      <c r="J40" t="s">
        <v>28</v>
      </c>
      <c r="K40" t="s">
        <v>120</v>
      </c>
      <c r="L40" t="s">
        <v>121</v>
      </c>
    </row>
    <row r="41" spans="3:12" x14ac:dyDescent="0.25">
      <c r="C41" s="3" t="s">
        <v>45</v>
      </c>
      <c r="D41" s="5">
        <v>1241812</v>
      </c>
      <c r="E41" s="5">
        <v>16467</v>
      </c>
      <c r="F41" s="5">
        <v>126299</v>
      </c>
      <c r="G41" s="5">
        <v>332179</v>
      </c>
      <c r="H41" s="5">
        <v>766867</v>
      </c>
      <c r="I41" s="5">
        <v>8061832</v>
      </c>
      <c r="J41" s="5">
        <v>1596714</v>
      </c>
      <c r="K41" s="5">
        <v>5747981</v>
      </c>
      <c r="L41" s="5">
        <v>717137</v>
      </c>
    </row>
    <row r="42" spans="3:12" x14ac:dyDescent="0.25">
      <c r="C42" s="3" t="s">
        <v>46</v>
      </c>
      <c r="D42" s="5">
        <v>1290701</v>
      </c>
      <c r="E42" s="5">
        <v>17929</v>
      </c>
      <c r="F42" s="5">
        <v>130772</v>
      </c>
      <c r="G42" s="5">
        <v>335399</v>
      </c>
      <c r="H42" s="5">
        <v>806601</v>
      </c>
      <c r="I42" s="5">
        <v>7954236</v>
      </c>
      <c r="J42" s="5">
        <v>1523347</v>
      </c>
      <c r="K42" s="5">
        <v>5661618</v>
      </c>
      <c r="L42" s="5">
        <v>769271</v>
      </c>
    </row>
    <row r="43" spans="3:12" x14ac:dyDescent="0.25">
      <c r="C43" s="3" t="s">
        <v>23</v>
      </c>
      <c r="D43" s="5">
        <v>2532513</v>
      </c>
      <c r="E43" s="5">
        <v>34396</v>
      </c>
      <c r="F43" s="5">
        <v>257071</v>
      </c>
      <c r="G43" s="5">
        <v>667578</v>
      </c>
      <c r="H43" s="5">
        <v>1573468</v>
      </c>
      <c r="I43" s="5">
        <v>16016068</v>
      </c>
      <c r="J43" s="5">
        <v>3120061</v>
      </c>
      <c r="K43" s="5">
        <v>11409599</v>
      </c>
      <c r="L43" s="5">
        <v>1486408</v>
      </c>
    </row>
    <row r="65" spans="1:3" x14ac:dyDescent="0.25">
      <c r="A65" s="2" t="s">
        <v>33</v>
      </c>
      <c r="B65" t="s">
        <v>113</v>
      </c>
    </row>
    <row r="67" spans="1:3" x14ac:dyDescent="0.25">
      <c r="A67" s="2" t="s">
        <v>22</v>
      </c>
      <c r="B67" t="s">
        <v>124</v>
      </c>
      <c r="C67" t="s">
        <v>126</v>
      </c>
    </row>
    <row r="68" spans="1:3" x14ac:dyDescent="0.25">
      <c r="A68" s="3" t="s">
        <v>45</v>
      </c>
      <c r="B68" s="5">
        <v>18607288</v>
      </c>
      <c r="C68" s="5">
        <v>18572373</v>
      </c>
    </row>
    <row r="69" spans="1:3" x14ac:dyDescent="0.25">
      <c r="A69" s="3" t="s">
        <v>46</v>
      </c>
      <c r="B69" s="5">
        <v>18489874</v>
      </c>
      <c r="C69" s="5">
        <v>18454960</v>
      </c>
    </row>
    <row r="70" spans="1:3" x14ac:dyDescent="0.25">
      <c r="A70" s="3" t="s">
        <v>23</v>
      </c>
      <c r="B70" s="5">
        <v>37097162</v>
      </c>
      <c r="C70" s="5">
        <v>37027333</v>
      </c>
    </row>
    <row r="96" spans="1:2" x14ac:dyDescent="0.25">
      <c r="A96" s="2" t="s">
        <v>112</v>
      </c>
      <c r="B96" s="2" t="s">
        <v>32</v>
      </c>
    </row>
    <row r="97" spans="1:4" x14ac:dyDescent="0.25">
      <c r="A97" s="2" t="s">
        <v>22</v>
      </c>
      <c r="B97" t="s">
        <v>45</v>
      </c>
      <c r="C97" t="s">
        <v>46</v>
      </c>
      <c r="D97" t="s">
        <v>23</v>
      </c>
    </row>
    <row r="98" spans="1:4" x14ac:dyDescent="0.25">
      <c r="A98" s="3" t="s">
        <v>99</v>
      </c>
      <c r="B98" s="5">
        <v>67838387</v>
      </c>
      <c r="C98" s="5">
        <v>67941429</v>
      </c>
      <c r="D98" s="5">
        <v>135779816</v>
      </c>
    </row>
    <row r="99" spans="1:4" x14ac:dyDescent="0.25">
      <c r="A99" s="3" t="s">
        <v>98</v>
      </c>
      <c r="B99" s="5">
        <v>56184737</v>
      </c>
      <c r="C99" s="5">
        <v>56209510</v>
      </c>
      <c r="D99" s="5">
        <v>112394247</v>
      </c>
    </row>
    <row r="100" spans="1:4" x14ac:dyDescent="0.25">
      <c r="A100" s="3" t="s">
        <v>97</v>
      </c>
      <c r="B100" s="5">
        <v>3473181</v>
      </c>
      <c r="C100" s="5">
        <v>3411307</v>
      </c>
      <c r="D100" s="5">
        <v>6884488</v>
      </c>
    </row>
    <row r="101" spans="1:4" x14ac:dyDescent="0.25">
      <c r="A101" s="3" t="s">
        <v>100</v>
      </c>
      <c r="B101" s="5">
        <v>121039206</v>
      </c>
      <c r="C101" s="5">
        <v>122319574</v>
      </c>
      <c r="D101" s="5">
        <v>243358780</v>
      </c>
    </row>
    <row r="102" spans="1:4" x14ac:dyDescent="0.25">
      <c r="A102" s="3" t="s">
        <v>101</v>
      </c>
      <c r="B102" s="5">
        <v>75834288</v>
      </c>
      <c r="C102" s="5">
        <v>76657000</v>
      </c>
      <c r="D102" s="5">
        <v>152491288</v>
      </c>
    </row>
    <row r="103" spans="1:4" x14ac:dyDescent="0.25">
      <c r="A103" s="3" t="s">
        <v>23</v>
      </c>
      <c r="B103" s="5">
        <v>324369799</v>
      </c>
      <c r="C103" s="5">
        <v>326538820</v>
      </c>
      <c r="D103" s="5">
        <v>650908619</v>
      </c>
    </row>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0DF33-69DA-4A2E-9F67-5D4579D4CD64}">
  <sheetPr codeName="Sheet7"/>
  <dimension ref="A1:E22"/>
  <sheetViews>
    <sheetView workbookViewId="0">
      <selection activeCell="C13" sqref="C13"/>
    </sheetView>
  </sheetViews>
  <sheetFormatPr defaultRowHeight="15" x14ac:dyDescent="0.25"/>
  <cols>
    <col min="1" max="1" width="11.5703125" bestFit="1" customWidth="1"/>
    <col min="2" max="2" width="7.85546875" bestFit="1" customWidth="1"/>
    <col min="3" max="3" width="10.140625" bestFit="1" customWidth="1"/>
    <col min="4" max="4" width="44.85546875" bestFit="1" customWidth="1"/>
    <col min="5" max="5" width="9.140625" bestFit="1" customWidth="1"/>
    <col min="6" max="6" width="21" bestFit="1" customWidth="1"/>
    <col min="7" max="7" width="24.5703125" bestFit="1" customWidth="1"/>
    <col min="8" max="8" width="15" bestFit="1" customWidth="1"/>
    <col min="9" max="9" width="19.7109375" bestFit="1" customWidth="1"/>
    <col min="10" max="10" width="25.28515625" bestFit="1" customWidth="1"/>
    <col min="11" max="11" width="31.7109375" bestFit="1" customWidth="1"/>
    <col min="12" max="13" width="29.85546875" bestFit="1" customWidth="1"/>
  </cols>
  <sheetData>
    <row r="1" spans="1:5" x14ac:dyDescent="0.25">
      <c r="A1" s="2" t="s">
        <v>34</v>
      </c>
      <c r="B1" t="s">
        <v>101</v>
      </c>
    </row>
    <row r="2" spans="1:5" x14ac:dyDescent="0.25">
      <c r="A2" s="2" t="s">
        <v>102</v>
      </c>
      <c r="B2" t="s">
        <v>113</v>
      </c>
    </row>
    <row r="3" spans="1:5" x14ac:dyDescent="0.25">
      <c r="A3" s="2" t="s">
        <v>33</v>
      </c>
      <c r="B3" t="s">
        <v>113</v>
      </c>
    </row>
    <row r="10" spans="1:5" x14ac:dyDescent="0.25">
      <c r="B10" s="7">
        <v>2015</v>
      </c>
      <c r="C10" s="7">
        <v>2016</v>
      </c>
      <c r="E10" s="7">
        <v>2016</v>
      </c>
    </row>
    <row r="11" spans="1:5" x14ac:dyDescent="0.25">
      <c r="A11" s="6" t="s">
        <v>114</v>
      </c>
      <c r="B11" s="5">
        <f>SUMIFS(CrimeGeo[Violent crime], CrimeGeo[Year], B$10, CrimeGeo[Region],IF( $B$1="(All)", "*", $B$1), CrimeGeo[Sub-regions], IF($B$2="(All)", "*", $B$2), CrimeGeo[States], IF($B$3="(All)", "*", $B$3))</f>
        <v>301773</v>
      </c>
      <c r="C11" s="5">
        <f>SUMIFS(CrimeGeo[Violent crime], CrimeGeo[Year], C$10, CrimeGeo[Region],IF( $B$1="(All)", "*", $B$1), CrimeGeo[Sub-regions], IF($B$2="(All)", "*", $B$2), CrimeGeo[States], IF($B$3="(All)", "*", $B$3))</f>
        <v>320706</v>
      </c>
      <c r="D11" s="6" t="s">
        <v>114</v>
      </c>
      <c r="E11" s="8">
        <f>IF(B11&lt;&gt;0, ((C11-B11)/(B11)),0)</f>
        <v>6.2739211261444855E-2</v>
      </c>
    </row>
    <row r="12" spans="1:5" x14ac:dyDescent="0.25">
      <c r="A12" s="6" t="s">
        <v>115</v>
      </c>
      <c r="B12" s="5">
        <f>SUMIFS(CrimeGeo[Murder and  nonnegligent  manslaughter], CrimeGeo[Year], B$10, CrimeGeo[Region],IF( $B$1="(All)", "*", $B$1), CrimeGeo[Sub-regions], IF($B$2="(All)", "*", $B$2), CrimeGeo[States], IF($B$3="(All)", "*", $B$3))</f>
        <v>3194</v>
      </c>
      <c r="C12" s="5">
        <f>SUMIFS(CrimeGeo[Murder and  nonnegligent  manslaughter], CrimeGeo[Year], C$10, CrimeGeo[Region],IF( $B$1="(All)", "*", $B$1), CrimeGeo[Sub-regions], IF($B$2="(All)", "*", $B$2), CrimeGeo[States], IF($B$3="(All)", "*", $B$3))</f>
        <v>3449</v>
      </c>
      <c r="D12" s="6" t="s">
        <v>115</v>
      </c>
      <c r="E12" s="8">
        <f t="shared" ref="E12:E22" si="0">IF(B12&lt;&gt;0, ((C12-B12)/(B12)),0)</f>
        <v>7.9837194740137757E-2</v>
      </c>
    </row>
    <row r="13" spans="1:5" x14ac:dyDescent="0.25">
      <c r="A13" s="6" t="s">
        <v>116</v>
      </c>
      <c r="B13" s="5">
        <f>SUMIFS(CrimeGeo[Rape (revised definition)], CrimeGeo[Year], B$10, CrimeGeo[Region],IF( $B$1="(All)", "*", $B$1), CrimeGeo[Sub-regions], IF($B$2="(All)", "*", $B$2), CrimeGeo[States], IF($B$3="(All)", "*", $B$3))</f>
        <v>31615</v>
      </c>
      <c r="C13" s="5">
        <f>SUMIFS(CrimeGeo[Rape (revised definition)], CrimeGeo[Year], C$10, CrimeGeo[Region],IF( $B$1="(All)", "*", $B$1), CrimeGeo[Sub-regions], IF($B$2="(All)", "*", $B$2), CrimeGeo[States], IF($B$3="(All)", "*", $B$3))</f>
        <v>33298</v>
      </c>
      <c r="D13" s="6" t="s">
        <v>116</v>
      </c>
      <c r="E13" s="8">
        <f t="shared" si="0"/>
        <v>5.3234224260635774E-2</v>
      </c>
    </row>
    <row r="14" spans="1:5" x14ac:dyDescent="0.25">
      <c r="A14" s="6" t="s">
        <v>117</v>
      </c>
      <c r="B14" s="5">
        <f>SUMIFS(CrimeGeo[Rape (legacy definition)], CrimeGeo[Year], B$10, CrimeGeo[Region],IF( $B$1="(All)", "*", $B$1), CrimeGeo[Sub-regions], IF($B$2="(All)", "*", $B$2), CrimeGeo[States], IF($B$3="(All)", "*", $B$3))</f>
        <v>22994</v>
      </c>
      <c r="C14" s="5">
        <f>SUMIFS(CrimeGeo[Rape (legacy definition)], CrimeGeo[Year], C$10, CrimeGeo[Region],IF( $B$1="(All)", "*", $B$1), CrimeGeo[Sub-regions], IF($B$2="(All)", "*", $B$2), CrimeGeo[States], IF($B$3="(All)", "*", $B$3))</f>
        <v>24562</v>
      </c>
      <c r="D14" s="6" t="s">
        <v>117</v>
      </c>
      <c r="E14" s="8">
        <f t="shared" si="0"/>
        <v>6.8191702183178216E-2</v>
      </c>
    </row>
    <row r="15" spans="1:5" x14ac:dyDescent="0.25">
      <c r="A15" s="6" t="s">
        <v>25</v>
      </c>
      <c r="B15" s="5">
        <f>SUMIFS(CrimeGeo[Robbery], CrimeGeo[Year], B$10, CrimeGeo[Region],IF( $B$1="(All)", "*", $B$1), CrimeGeo[Sub-regions], IF($B$2="(All)", "*", $B$2), CrimeGeo[States], IF($B$3="(All)", "*", $B$3))</f>
        <v>82557</v>
      </c>
      <c r="C15" s="5">
        <f>SUMIFS(CrimeGeo[Robbery], CrimeGeo[Year], C$10, CrimeGeo[Region],IF( $B$1="(All)", "*", $B$1), CrimeGeo[Sub-regions], IF($B$2="(All)", "*", $B$2), CrimeGeo[States], IF($B$3="(All)", "*", $B$3))</f>
        <v>86301</v>
      </c>
      <c r="D15" s="6" t="s">
        <v>25</v>
      </c>
      <c r="E15" s="8">
        <f t="shared" si="0"/>
        <v>4.5350485119372071E-2</v>
      </c>
    </row>
    <row r="16" spans="1:5" x14ac:dyDescent="0.25">
      <c r="A16" s="6" t="s">
        <v>119</v>
      </c>
      <c r="B16" s="5">
        <f>SUMIFS(CrimeGeo[Property crime], CrimeGeo[Year], B$10, CrimeGeo[Region],IF( $B$1="(All)", "*", $B$1), CrimeGeo[Sub-regions], IF($B$2="(All)", "*", $B$2), CrimeGeo[States], IF($B$3="(All)", "*", $B$3))</f>
        <v>2123048</v>
      </c>
      <c r="C16" s="5">
        <f>SUMIFS(CrimeGeo[Property crime], CrimeGeo[Year], C$10, CrimeGeo[Region],IF( $B$1="(All)", "*", $B$1), CrimeGeo[Sub-regions], IF($B$2="(All)", "*", $B$2), CrimeGeo[States], IF($B$3="(All)", "*", $B$3))</f>
        <v>2120808</v>
      </c>
      <c r="D16" s="6" t="s">
        <v>119</v>
      </c>
      <c r="E16" s="8">
        <f t="shared" si="0"/>
        <v>-1.0550868374148866E-3</v>
      </c>
    </row>
    <row r="17" spans="1:5" x14ac:dyDescent="0.25">
      <c r="A17" s="6" t="s">
        <v>118</v>
      </c>
      <c r="B17" s="5">
        <f>SUMIFS(CrimeGeo[Aggravated assault], CrimeGeo[Year], B$10, CrimeGeo[Region],IF( $B$1="(All)", "*", $B$1), CrimeGeo[Sub-regions], IF($B$2="(All)", "*", $B$2), CrimeGeo[States], IF($B$3="(All)", "*", $B$3))</f>
        <v>184407</v>
      </c>
      <c r="C17" s="5">
        <f>SUMIFS(CrimeGeo[Aggravated assault], CrimeGeo[Year], C$10, CrimeGeo[Region],IF( $B$1="(All)", "*", $B$1), CrimeGeo[Sub-regions], IF($B$2="(All)", "*", $B$2), CrimeGeo[States], IF($B$3="(All)", "*", $B$3))</f>
        <v>197658</v>
      </c>
      <c r="D17" s="6" t="s">
        <v>118</v>
      </c>
      <c r="E17" s="8">
        <f t="shared" si="0"/>
        <v>7.1857358993964435E-2</v>
      </c>
    </row>
    <row r="18" spans="1:5" x14ac:dyDescent="0.25">
      <c r="A18" s="6" t="s">
        <v>28</v>
      </c>
      <c r="B18" s="5">
        <f>SUMIFS(CrimeGeo[Burglary], CrimeGeo[Year], B$10, CrimeGeo[Region],IF( $B$1="(All)", "*", $B$1), CrimeGeo[Sub-regions], IF($B$2="(All)", "*", $B$2), CrimeGeo[States], IF($B$3="(All)", "*", $B$3))</f>
        <v>402703</v>
      </c>
      <c r="C18" s="5">
        <f>SUMIFS(CrimeGeo[Burglary], CrimeGeo[Year], C$10, CrimeGeo[Region],IF( $B$1="(All)", "*", $B$1), CrimeGeo[Sub-regions], IF($B$2="(All)", "*", $B$2), CrimeGeo[States], IF($B$3="(All)", "*", $B$3))</f>
        <v>387049</v>
      </c>
      <c r="D18" s="6" t="s">
        <v>28</v>
      </c>
      <c r="E18" s="8">
        <f t="shared" si="0"/>
        <v>-3.8872320295602468E-2</v>
      </c>
    </row>
    <row r="19" spans="1:5" x14ac:dyDescent="0.25">
      <c r="A19" s="6" t="s">
        <v>120</v>
      </c>
      <c r="B19" s="5">
        <f>SUMIFS(CrimeGeo[Larceny-theft], CrimeGeo[Year], B$10, CrimeGeo[Region],IF( $B$1="(All)", "*", $B$1), CrimeGeo[Sub-regions], IF($B$2="(All)", "*", $B$2), CrimeGeo[States], IF($B$3="(All)", "*", $B$3))</f>
        <v>1437787</v>
      </c>
      <c r="C19" s="5">
        <f>SUMIFS(CrimeGeo[Larceny-theft], CrimeGeo[Year], C$10, CrimeGeo[Region],IF( $B$1="(All)", "*", $B$1), CrimeGeo[Sub-regions], IF($B$2="(All)", "*", $B$2), CrimeGeo[States], IF($B$3="(All)", "*", $B$3))</f>
        <v>1424850</v>
      </c>
      <c r="D19" s="6" t="s">
        <v>120</v>
      </c>
      <c r="E19" s="8">
        <f t="shared" si="0"/>
        <v>-8.9978557324555033E-3</v>
      </c>
    </row>
    <row r="20" spans="1:5" x14ac:dyDescent="0.25">
      <c r="A20" s="6" t="s">
        <v>121</v>
      </c>
      <c r="B20" s="5">
        <f>SUMIFS(CrimeGeo[Motor vehicle theft], CrimeGeo[Year], B$10, CrimeGeo[Region],IF( $B$1="(All)", "*", $B$1), CrimeGeo[Sub-regions], IF($B$2="(All)", "*", $B$2), CrimeGeo[States], IF($B$3="(All)", "*", $B$3))</f>
        <v>282558</v>
      </c>
      <c r="C20" s="5">
        <f>SUMIFS(CrimeGeo[Motor vehicle theft], CrimeGeo[Year], C$10, CrimeGeo[Region],IF( $B$1="(All)", "*", $B$1), CrimeGeo[Sub-regions], IF($B$2="(All)", "*", $B$2), CrimeGeo[States], IF($B$3="(All)", "*", $B$3))</f>
        <v>308909</v>
      </c>
      <c r="D20" s="6" t="s">
        <v>121</v>
      </c>
      <c r="E20" s="8">
        <f t="shared" si="0"/>
        <v>9.3258729181265446E-2</v>
      </c>
    </row>
    <row r="21" spans="1:5" x14ac:dyDescent="0.25">
      <c r="A21" s="9" t="s">
        <v>124</v>
      </c>
      <c r="B21" s="5">
        <f>SUMIFS(CrimeGeo[Total Crimes(rape revised)], CrimeGeo[Year], B$10, CrimeGeo[Region],IF( $B$1="(All)", "*", $B$1), CrimeGeo[Sub-regions], IF($B$2="(All)", "*", $B$2), CrimeGeo[States], IF($B$3="(All)", "*", $B$3))</f>
        <v>4849642</v>
      </c>
      <c r="C21" s="5">
        <f>SUMIFS(CrimeGeo[Total Crimes(rape revised)], CrimeGeo[Year], C$10, CrimeGeo[Region],IF( $B$1="(All)", "*", $B$1), CrimeGeo[Sub-regions], IF($B$2="(All)", "*", $B$2), CrimeGeo[States], IF($B$3="(All)", "*", $B$3))</f>
        <v>4883028</v>
      </c>
      <c r="D21" s="9" t="s">
        <v>124</v>
      </c>
      <c r="E21" s="8">
        <f t="shared" si="0"/>
        <v>6.8842194949647832E-3</v>
      </c>
    </row>
    <row r="22" spans="1:5" x14ac:dyDescent="0.25">
      <c r="A22" s="9" t="s">
        <v>126</v>
      </c>
      <c r="B22" s="5">
        <f>SUMIFS(CrimeGeo[Total Crime(rape legacy)], CrimeGeo[Year], B$10, CrimeGeo[Region],IF( $B$1="(All)", "*", $B$1), CrimeGeo[Sub-regions], IF($B$2="(All)", "*", $B$2), CrimeGeo[States], IF($B$3="(All)", "*", $B$3))</f>
        <v>4841021</v>
      </c>
      <c r="C22" s="5">
        <f>SUMIFS(CrimeGeo[Total Crime(rape legacy)], CrimeGeo[Year], C$10, CrimeGeo[Region],IF( $B$1="(All)", "*", $B$1), CrimeGeo[Sub-regions], IF($B$2="(All)", "*", $B$2), CrimeGeo[States], IF($B$3="(All)", "*", $B$3))</f>
        <v>4874292</v>
      </c>
      <c r="D22" s="9" t="s">
        <v>126</v>
      </c>
      <c r="E22" s="8">
        <f t="shared" si="0"/>
        <v>6.8727237498040182E-3</v>
      </c>
    </row>
  </sheetData>
  <conditionalFormatting sqref="E11:E22">
    <cfRule type="iconSet" priority="1">
      <iconSet iconSet="4Arrows">
        <cfvo type="percent" val="0"/>
        <cfvo type="num" val="-5.0000000000000001E-3"/>
        <cfvo type="num" val="0"/>
        <cfvo type="num" val="5.0000000000000001E-3"/>
      </iconSet>
    </cfRule>
  </conditionalFormatting>
  <pageMargins left="0.7" right="0.7" top="0.75" bottom="0.75"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25CB8-1560-436A-880E-6FCB7B34C70B}">
  <dimension ref="A16:D27"/>
  <sheetViews>
    <sheetView tabSelected="1" topLeftCell="A7" workbookViewId="0">
      <selection activeCell="C22" sqref="C22"/>
    </sheetView>
  </sheetViews>
  <sheetFormatPr defaultRowHeight="15" x14ac:dyDescent="0.25"/>
  <cols>
    <col min="1" max="1" width="11.140625" bestFit="1" customWidth="1"/>
    <col min="2" max="2" width="18.28515625" bestFit="1" customWidth="1"/>
    <col min="3" max="4" width="31.7109375" bestFit="1" customWidth="1"/>
  </cols>
  <sheetData>
    <row r="16" spans="1:2" x14ac:dyDescent="0.25">
      <c r="A16" s="2" t="s">
        <v>0</v>
      </c>
      <c r="B16" t="s">
        <v>46</v>
      </c>
    </row>
    <row r="17" spans="1:4" x14ac:dyDescent="0.25">
      <c r="A17" t="s">
        <v>34</v>
      </c>
      <c r="B17" t="s">
        <v>102</v>
      </c>
      <c r="C17" t="s">
        <v>124</v>
      </c>
      <c r="D17" s="2"/>
    </row>
    <row r="18" spans="1:4" x14ac:dyDescent="0.25">
      <c r="A18" t="s">
        <v>99</v>
      </c>
      <c r="B18" t="s">
        <v>105</v>
      </c>
      <c r="C18" s="5">
        <f>SUMIFS(CrimeGeo[Total Crimes(rape revised)], CrimeGeo[Sub-regions], $B18, CrimeGeo[Region], $A18, CrimeGeo[Year], IF($B$16="(All)", "*", $B$16))</f>
        <v>2431178</v>
      </c>
    </row>
    <row r="19" spans="1:4" x14ac:dyDescent="0.25">
      <c r="A19" t="s">
        <v>99</v>
      </c>
      <c r="B19" t="s">
        <v>106</v>
      </c>
      <c r="C19" s="5">
        <f>SUMIFS(CrimeGeo[Total Crimes(rape revised)], CrimeGeo[Sub-regions], $B19, CrimeGeo[Region], $A19, CrimeGeo[Year], IF($B$16="(All)", "*", $B$16))</f>
        <v>1172102</v>
      </c>
    </row>
    <row r="20" spans="1:4" x14ac:dyDescent="0.25">
      <c r="A20" t="s">
        <v>98</v>
      </c>
      <c r="B20" t="s">
        <v>104</v>
      </c>
      <c r="C20" s="5">
        <f>SUMIFS(CrimeGeo[Total Crimes(rape revised)], CrimeGeo[Sub-regions], $B20, CrimeGeo[Region], $A20, CrimeGeo[Year], IF($B$16="(All)", "*", $B$16))</f>
        <v>1605548</v>
      </c>
    </row>
    <row r="21" spans="1:4" x14ac:dyDescent="0.25">
      <c r="A21" t="s">
        <v>98</v>
      </c>
      <c r="B21" t="s">
        <v>103</v>
      </c>
      <c r="C21" s="5">
        <f>SUMIFS(CrimeGeo[Total Crimes(rape revised)], CrimeGeo[Sub-regions], $B21, CrimeGeo[Region], $A21, CrimeGeo[Year], IF($B$16="(All)", "*", $B$16))</f>
        <v>570734</v>
      </c>
    </row>
    <row r="22" spans="1:4" x14ac:dyDescent="0.25">
      <c r="A22" t="s">
        <v>97</v>
      </c>
      <c r="B22" t="s">
        <v>97</v>
      </c>
      <c r="C22" s="5">
        <f>SUMIFS(CrimeGeo[Total Crimes(rape revised)], CrimeGeo[Sub-regions], $B22, CrimeGeo[Region], $A22, CrimeGeo[Year], IF($B$16="(All)", "*", $B$16))</f>
        <v>85688</v>
      </c>
    </row>
    <row r="23" spans="1:4" x14ac:dyDescent="0.25">
      <c r="A23" t="s">
        <v>100</v>
      </c>
      <c r="B23" t="s">
        <v>108</v>
      </c>
      <c r="C23" s="5">
        <f>SUMIFS(CrimeGeo[Total Crimes(rape revised)], CrimeGeo[Sub-regions], $B23, CrimeGeo[Region], $A23, CrimeGeo[Year], IF($B$16="(All)", "*", $B$16))</f>
        <v>1199522</v>
      </c>
    </row>
    <row r="24" spans="1:4" x14ac:dyDescent="0.25">
      <c r="A24" t="s">
        <v>100</v>
      </c>
      <c r="B24" t="s">
        <v>107</v>
      </c>
      <c r="C24" s="5">
        <f>SUMIFS(CrimeGeo[Total Crimes(rape revised)], CrimeGeo[Sub-regions], $B24, CrimeGeo[Region], $A24, CrimeGeo[Year], IF($B$16="(All)", "*", $B$16))</f>
        <v>3902682</v>
      </c>
    </row>
    <row r="25" spans="1:4" x14ac:dyDescent="0.25">
      <c r="A25" t="s">
        <v>100</v>
      </c>
      <c r="B25" t="s">
        <v>109</v>
      </c>
      <c r="C25" s="5">
        <f>SUMIFS(CrimeGeo[Total Crimes(rape revised)], CrimeGeo[Sub-regions], $B25, CrimeGeo[Region], $A25, CrimeGeo[Year], IF($B$16="(All)", "*", $B$16))</f>
        <v>2639392</v>
      </c>
    </row>
    <row r="26" spans="1:4" x14ac:dyDescent="0.25">
      <c r="A26" t="s">
        <v>101</v>
      </c>
      <c r="B26" t="s">
        <v>110</v>
      </c>
      <c r="C26" s="5">
        <f>SUMIFS(CrimeGeo[Total Crimes(rape revised)], CrimeGeo[Sub-regions], $B26, CrimeGeo[Region], $A26, CrimeGeo[Year], IF($B$16="(All)", "*", $B$16))</f>
        <v>1555570</v>
      </c>
    </row>
    <row r="27" spans="1:4" x14ac:dyDescent="0.25">
      <c r="A27" t="s">
        <v>101</v>
      </c>
      <c r="B27" t="s">
        <v>111</v>
      </c>
      <c r="C27" s="5">
        <f>SUMIFS(CrimeGeo[Total Crimes(rape revised)], CrimeGeo[Sub-regions], $B27, CrimeGeo[Region], $A27, CrimeGeo[Year], IF($B$16="(All)", "*", $B$16))</f>
        <v>3327458</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FE611FE-4860-4FDC-8C7A-795454FECF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National Crime data</vt:lpstr>
      <vt:lpstr>NationPivot</vt:lpstr>
      <vt:lpstr>Percent Change Nationally</vt:lpstr>
      <vt:lpstr>Geographic Crime Data</vt:lpstr>
      <vt:lpstr>Geopivot</vt:lpstr>
      <vt:lpstr>Percent Change By Geo</vt:lpstr>
      <vt:lpstr>Hierarchy Chart</vt:lpstr>
      <vt:lpstr>Murder</vt:lpstr>
      <vt:lpstr>Populatin</vt:lpstr>
      <vt:lpstr>Population</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An Truong</dc:creator>
  <cp:lastModifiedBy>Andrew An Truong</cp:lastModifiedBy>
  <dcterms:created xsi:type="dcterms:W3CDTF">2018-09-07T17:46:00Z</dcterms:created>
  <dcterms:modified xsi:type="dcterms:W3CDTF">2018-09-19T07:06:05Z</dcterms:modified>
</cp:coreProperties>
</file>